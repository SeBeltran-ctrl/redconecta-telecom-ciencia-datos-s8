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c125c179c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807d982e8034e59"/>
    <x:sheet xmlns:r="http://schemas.openxmlformats.org/officeDocument/2006/relationships" name="Dashboard" sheetId="2" r:id="R1cd99ee9c77442bc"/>
    <x:sheet xmlns:r="http://schemas.openxmlformats.org/officeDocument/2006/relationships" name="Resumen_Calculos" sheetId="3" r:id="R69a6bd2b8c9843c1"/>
  </x:sheets>
</x:workbook>
</file>

<file path=xl/sharedStrings.xml><?xml version="1.0" encoding="utf-8"?>
<x:sst xmlns:x="http://schemas.openxmlformats.org/spreadsheetml/2006/main">
  <x:si>
    <x:t xml:space="preserve">fecha_registro</x:t>
  </x:si>
  <x:si>
    <x:t xml:space="preserve">region</x:t>
  </x:si>
  <x:si>
    <x:t xml:space="preserve">tipo_servicio</x:t>
  </x:si>
  <x:si>
    <x:t xml:space="preserve">trafico_datos_gb</x:t>
  </x:si>
  <x:si>
    <x:t xml:space="preserve">latencia_ms</x:t>
  </x:si>
  <x:si>
    <x:t xml:space="preserve">incidencias_reportadas</x:t>
  </x:si>
  <x:si>
    <x:t xml:space="preserve">tickets_soporte</x:t>
  </x:si>
  <x:si>
    <x:t xml:space="preserve">tiempo_resolucion_hr</x:t>
  </x:si>
  <x:si>
    <x:t xml:space="preserve">clientes_afectados</x:t>
  </x:si>
  <x:si>
    <x:t xml:space="preserve">cumplimiento_sla</x:t>
  </x:si>
  <x:si>
    <x:t xml:space="preserve">Centro</x:t>
  </x:si>
  <x:si>
    <x:t xml:space="preserve">Empresas</x:t>
  </x:si>
  <x:si>
    <x:t xml:space="preserve">No cumple</x:t>
  </x:si>
  <x:si>
    <x:t xml:space="preserve">Norte</x:t>
  </x:si>
  <x:si>
    <x:t xml:space="preserve">Internet Hogar</x:t>
  </x:si>
  <x:si>
    <x:t xml:space="preserve">Cumple</x:t>
  </x:si>
  <x:si>
    <x:t xml:space="preserve">Móvil</x:t>
  </x:si>
  <x:si>
    <x:t xml:space="preserve">Sur</x:t>
  </x:si>
</x:sst>
</file>

<file path=xl/styles.xml><?xml version="1.0" encoding="utf-8"?>
<x:styleSheet xmlns:x="http://schemas.openxmlformats.org/spreadsheetml/2006/main">
  <x:numFmts count="5">
    <x:numFmt numFmtId="164" formatCode="YYYY-MM-DD HH:MM:SS"/>
    <x:numFmt numFmtId="200" formatCode="0.0%"/>
    <x:numFmt numFmtId="201" formatCode="0"/>
    <x:numFmt numFmtId="202" formatCode="0.00"/>
    <x:numFmt numFmtId="203" formatCode="dd/mm/yyyy"/>
  </x:numFmts>
  <x:fonts count="8">
    <x:font>
      <x:sz val="11"/>
      <x:color theme="1"/>
      <x:name val="Calibri"/>
    </x:font>
    <x:font>
      <x:b/>
      <x:sz val="11"/>
      <x:color theme="1"/>
      <x:name val="Calibri"/>
    </x:font>
    <x:font>
      <x:b/>
      <x:sz val="19"/>
      <x:color rgb="FFFFFFFF"/>
      <x:name val="Calibri"/>
    </x:font>
    <x:font>
      <x:sz val="11"/>
      <x:color rgb="FF087E8B"/>
      <x:name val="Calibri"/>
    </x:font>
    <x:font>
      <x:b/>
      <x:sz val="11"/>
      <x:color rgb="FFFFFFFF"/>
      <x:name val="Calibri"/>
    </x:font>
    <x:font>
      <x:b/>
      <x:sz val="11"/>
      <x:color rgb="FF12304A"/>
      <x:name val="Calibri"/>
    </x:font>
    <x:font>
      <x:b/>
      <x:sz val="20"/>
      <x:color rgb="FF087E8B"/>
      <x:name val="Calibri"/>
    </x:font>
    <x:font>
      <x:sz val="10"/>
      <x:color rgb="FF12304A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9F3F6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164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2" xfId="0" applyNumberFormat="1" applyFont="1" applyFill="1" applyBorder="1"/>
    <x:xf numFmtId="0" fontId="5" fillId="3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3" borderId="0" xfId="0" applyNumberFormat="1" applyFont="1" applyFill="1" applyBorder="1"/>
    <x:xf numFmtId="201" fontId="6" fillId="3" borderId="0" xfId="0" applyNumberFormat="1" applyFont="1" applyFill="1" applyBorder="1"/>
    <x:xf numFmtId="0" fontId="6" fillId="3" borderId="0" xfId="0" applyNumberFormat="1" applyFont="1" applyFill="1" applyBorder="1"/>
    <x:xf numFmtId="201" fontId="0" fillId="3" borderId="2" xfId="0" applyNumberFormat="1" applyFont="1" applyFill="1" applyBorder="1"/>
    <x:xf numFmtId="201" fontId="6" fillId="3" borderId="2" xfId="0" applyNumberFormat="1" applyFont="1" applyFill="1" applyBorder="1"/>
    <x:xf numFmtId="0" fontId="6" fillId="3" borderId="2" xfId="0" applyNumberFormat="1" applyFont="1" applyFill="1" applyBorder="1"/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202" fontId="0" fillId="3" borderId="0" xfId="0" applyNumberFormat="1" applyFont="1" applyFill="1" applyBorder="1"/>
    <x:xf numFmtId="202" fontId="6" fillId="3" borderId="0" xfId="0" applyNumberFormat="1" applyFont="1" applyFill="1" applyBorder="1"/>
    <x:xf numFmtId="202" fontId="0" fillId="3" borderId="2" xfId="0" applyNumberFormat="1" applyFont="1" applyFill="1" applyBorder="1"/>
    <x:xf numFmtId="202" fontId="6" fillId="3" borderId="2" xfId="0" applyNumberFormat="1" applyFont="1" applyFill="1" applyBorder="1"/>
    <x:xf numFmtId="200" fontId="0" fillId="3" borderId="0" xfId="0" applyNumberFormat="1" applyFont="1" applyFill="1" applyBorder="1"/>
    <x:xf numFmtId="200" fontId="6" fillId="3" borderId="0" xfId="0" applyNumberFormat="1" applyFont="1" applyFill="1" applyBorder="1"/>
    <x:xf numFmtId="200" fontId="0" fillId="3" borderId="2" xfId="0" applyNumberFormat="1" applyFont="1" applyFill="1" applyBorder="1"/>
    <x:xf numFmtId="200" fontId="6" fillId="3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1" fillId="2" borderId="3" xfId="0" applyNumberFormat="1" applyFont="1" applyFill="1" applyBorder="1" applyAlignment="1">
      <x:alignment horizontal="center" vertical="top"/>
    </x:xf>
    <x:xf numFmtId="0" fontId="4" fillId="2" borderId="3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/>
    <x:xf numFmtId="203" fontId="0" fillId="0" borderId="2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e731618614ff3" /><Relationship Type="http://schemas.openxmlformats.org/officeDocument/2006/relationships/theme" Target="/xl/theme/theme1.xml" Id="Rd3037f8b335442a3" /><Relationship Type="http://schemas.openxmlformats.org/officeDocument/2006/relationships/sharedStrings" Target="/xl/sharedStrings.xml" Id="R197c73f5a7644fa9" /><Relationship Type="http://schemas.openxmlformats.org/officeDocument/2006/relationships/worksheet" Target="/xl/worksheets/sheet1.xml" Id="R8807d982e8034e59" /><Relationship Type="http://schemas.openxmlformats.org/officeDocument/2006/relationships/worksheet" Target="/xl/worksheets/sheet2.xml" Id="R1cd99ee9c77442bc" /><Relationship Type="http://schemas.openxmlformats.org/officeDocument/2006/relationships/worksheet" Target="/xl/worksheets/sheet3.xml" Id="R69a6bd2b8c9843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119a7c3daa4003" /><Relationship Type="http://schemas.openxmlformats.org/officeDocument/2006/relationships/chart" Target="/xl/drawings/charts/chart2.xml" Id="Rcaede68c74064f67" /><Relationship Type="http://schemas.openxmlformats.org/officeDocument/2006/relationships/chart" Target="/xl/drawings/charts/chart3.xml" Id="Rfba71006be58467f" /><Relationship Type="http://schemas.openxmlformats.org/officeDocument/2006/relationships/chart" Target="/xl/drawings/charts/chart4.xml" Id="R0b03a78907bf451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Latencia promedio por región</c:v>
          </c:tx>
          <c:cat>
            <c:strRef>
              <c:f>'Resumen_Calculos'!$A$2:$A$4</c:f>
              <c:strCache>
                <c:ptCount val="0"/>
              </c:strCache>
            </c:strRef>
          </c:cat>
          <c:val>
            <c:numRef>
              <c:f>'Resumen_Calculos'!$B$2:$B$4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Resolución promedio por servicio</c:v>
          </c:tx>
          <c:cat>
            <c:strRef>
              <c:f>'Resumen_Calculos'!$D$2:$D$4</c:f>
              <c:strCache>
                <c:ptCount val="0"/>
              </c:strCache>
            </c:strRef>
          </c:cat>
          <c:val>
            <c:numRef>
              <c:f>'Resumen_Calculos'!$E$2:$E$4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Incidencias totales por región</c:v>
          </c:tx>
          <c:cat>
            <c:strRef>
              <c:f>'Resumen_Calculos'!$G$2:$G$4</c:f>
              <c:strCache>
                <c:ptCount val="0"/>
              </c:strCache>
            </c:strRef>
          </c:cat>
          <c:val>
            <c:numRef>
              <c:f>'Resumen_Calculos'!$H$2:$H$4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Cumplimiento de SLA</c:v>
          </c:tx>
          <c:cat>
            <c:strRef>
              <c:f>'Resumen_Calculos'!$J$2:$J$3</c:f>
              <c:strCache>
                <c:ptCount val="0"/>
              </c:strCache>
            </c:strRef>
          </c:cat>
          <c:val>
            <c:numRef>
              <c:f>'Resumen_Calculos'!$K$2:$K$3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119a7c3daa4003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ede68c74064f67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a71006be58467f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03a78907bf45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osTelecom" displayName="DatosTelecom" ref="A1:J201" headerRowCount="1" totalsRowCount="0" totalsRowShown="0">
  <x:tableColumns count="10">
    <x:tableColumn id="1" name="fecha_registro"/>
    <x:tableColumn id="2" name="region"/>
    <x:tableColumn id="3" name="tipo_servicio"/>
    <x:tableColumn id="4" name="trafico_datos_gb"/>
    <x:tableColumn id="5" name="latencia_ms"/>
    <x:tableColumn id="6" name="incidencias_reportadas"/>
    <x:tableColumn id="7" name="tickets_soporte"/>
    <x:tableColumn id="8" name="tiempo_resolucion_hr"/>
    <x:tableColumn id="9" name="clientes_afectados"/>
    <x:tableColumn id="10" name="cumplimiento_s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4ed033e42c43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38564051d1d425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8" customHeight="1">
      <x:c r="A1" s="41" t="s">
        <x:v>0</x:v>
      </x:c>
      <x:c r="B1" s="41" t="s">
        <x:v>1</x:v>
      </x:c>
      <x:c r="C1" s="41" t="s">
        <x:v>2</x:v>
      </x:c>
      <x:c r="D1" s="41" t="s">
        <x:v>3</x:v>
      </x:c>
      <x:c r="E1" s="41" t="s">
        <x:v>4</x:v>
      </x:c>
      <x:c r="F1" s="41" t="s">
        <x:v>5</x:v>
      </x:c>
      <x:c r="G1" s="41" t="s">
        <x:v>6</x:v>
      </x:c>
      <x:c r="H1" s="41" t="s">
        <x:v>7</x:v>
      </x:c>
      <x:c r="I1" s="41" t="s">
        <x:v>8</x:v>
      </x:c>
      <x:c r="J1" s="41" t="s">
        <x:v>9</x:v>
      </x:c>
    </x:row>
    <x:row r="2">
      <x:c r="A2" s="44">
        <x:v>45717</x:v>
      </x:c>
      <x:c r="B2" t="s">
        <x:v>10</x:v>
      </x:c>
      <x:c r="C2" t="s">
        <x:v>11</x:v>
      </x:c>
      <x:c r="D2">
        <x:v>457.8</x:v>
      </x:c>
      <x:c r="E2">
        <x:v>21.3</x:v>
      </x:c>
      <x:c r="F2">
        <x:v>0</x:v>
      </x:c>
      <x:c r="G2">
        <x:v>27</x:v>
      </x:c>
      <x:c r="H2">
        <x:v>22.4</x:v>
      </x:c>
      <x:c r="I2">
        <x:v>144</x:v>
      </x:c>
      <x:c r="J2" t="s">
        <x:v>12</x:v>
      </x:c>
    </x:row>
    <x:row r="3">
      <x:c r="A3" s="44">
        <x:v>45718</x:v>
      </x:c>
      <x:c r="B3" t="s">
        <x:v>13</x:v>
      </x:c>
      <x:c r="C3" t="s">
        <x:v>14</x:v>
      </x:c>
      <x:c r="D3">
        <x:v>383.4</x:v>
      </x:c>
      <x:c r="E3">
        <x:v>36.5</x:v>
      </x:c>
      <x:c r="F3">
        <x:v>13</x:v>
      </x:c>
      <x:c r="G3">
        <x:v>19</x:v>
      </x:c>
      <x:c r="H3">
        <x:v>39.4</x:v>
      </x:c>
      <x:c r="I3">
        <x:v>290</x:v>
      </x:c>
      <x:c r="J3" t="s">
        <x:v>12</x:v>
      </x:c>
    </x:row>
    <x:row r="4">
      <x:c r="A4" s="44">
        <x:v>45719</x:v>
      </x:c>
      <x:c r="B4" t="s">
        <x:v>13</x:v>
      </x:c>
      <x:c r="C4" t="s">
        <x:v>11</x:v>
      </x:c>
      <x:c r="D4">
        <x:v>457.3</x:v>
      </x:c>
      <x:c r="E4">
        <x:v>97.40000000000001</x:v>
      </x:c>
      <x:c r="F4">
        <x:v>7</x:v>
      </x:c>
      <x:c r="G4">
        <x:v>15</x:v>
      </x:c>
      <x:c r="H4">
        <x:v>1.7</x:v>
      </x:c>
      <x:c r="I4">
        <x:v>427</x:v>
      </x:c>
      <x:c r="J4" t="s">
        <x:v>15</x:v>
      </x:c>
    </x:row>
    <x:row r="5">
      <x:c r="A5" s="44">
        <x:v>45720</x:v>
      </x:c>
      <x:c r="B5" t="s">
        <x:v>13</x:v>
      </x:c>
      <x:c r="C5" t="s">
        <x:v>16</x:v>
      </x:c>
      <x:c r="D5">
        <x:v>62.5</x:v>
      </x:c>
      <x:c r="E5">
        <x:v>119.4</x:v>
      </x:c>
      <x:c r="F5">
        <x:v>12</x:v>
      </x:c>
      <x:c r="G5">
        <x:v>30</x:v>
      </x:c>
      <x:c r="H5">
        <x:v>38.2</x:v>
      </x:c>
      <x:c r="I5">
        <x:v>116</x:v>
      </x:c>
      <x:c r="J5" t="s">
        <x:v>15</x:v>
      </x:c>
    </x:row>
    <x:row r="6">
      <x:c r="A6" s="44">
        <x:v>45721</x:v>
      </x:c>
      <x:c r="B6" t="s">
        <x:v>13</x:v>
      </x:c>
      <x:c r="C6" t="s">
        <x:v>11</x:v>
      </x:c>
      <x:c r="D6">
        <x:v>356.1</x:v>
      </x:c>
      <x:c r="E6">
        <x:v>111</x:v>
      </x:c>
      <x:c r="F6">
        <x:v>9</x:v>
      </x:c>
      <x:c r="G6">
        <x:v>30</x:v>
      </x:c>
      <x:c r="H6">
        <x:v>21.5</x:v>
      </x:c>
      <x:c r="I6">
        <x:v>389</x:v>
      </x:c>
      <x:c r="J6" t="s">
        <x:v>12</x:v>
      </x:c>
    </x:row>
    <x:row r="7">
      <x:c r="A7" s="44">
        <x:v>45722</x:v>
      </x:c>
      <x:c r="B7" t="s">
        <x:v>13</x:v>
      </x:c>
      <x:c r="C7" t="s">
        <x:v>14</x:v>
      </x:c>
      <x:c r="D7">
        <x:v>430.9</x:v>
      </x:c>
      <x:c r="E7">
        <x:v>19.7</x:v>
      </x:c>
      <x:c r="F7">
        <x:v>16</x:v>
      </x:c>
      <x:c r="G7">
        <x:v>22</x:v>
      </x:c>
      <x:c r="H7">
        <x:v>31.2</x:v>
      </x:c>
      <x:c r="I7">
        <x:v>497</x:v>
      </x:c>
      <x:c r="J7" t="s">
        <x:v>12</x:v>
      </x:c>
    </x:row>
    <x:row r="8">
      <x:c r="A8" s="44">
        <x:v>45723</x:v>
      </x:c>
      <x:c r="B8" t="s">
        <x:v>13</x:v>
      </x:c>
      <x:c r="C8" t="s">
        <x:v>16</x:v>
      </x:c>
      <x:c r="D8">
        <x:v>449.4</x:v>
      </x:c>
      <x:c r="E8">
        <x:v>82.8</x:v>
      </x:c>
      <x:c r="F8">
        <x:v>13</x:v>
      </x:c>
      <x:c r="G8">
        <x:v>44</x:v>
      </x:c>
      <x:c r="H8">
        <x:v>26.2</x:v>
      </x:c>
      <x:c r="I8">
        <x:v>44</x:v>
      </x:c>
      <x:c r="J8" t="s">
        <x:v>15</x:v>
      </x:c>
    </x:row>
    <x:row r="9">
      <x:c r="A9" s="44">
        <x:v>45724</x:v>
      </x:c>
      <x:c r="B9" t="s">
        <x:v>17</x:v>
      </x:c>
      <x:c r="C9" t="s">
        <x:v>14</x:v>
      </x:c>
      <x:c r="D9">
        <x:v>68.8</x:v>
      </x:c>
      <x:c r="E9">
        <x:v>48.8</x:v>
      </x:c>
      <x:c r="F9">
        <x:v>16</x:v>
      </x:c>
      <x:c r="G9">
        <x:v>25</x:v>
      </x:c>
      <x:c r="H9">
        <x:v>18.3</x:v>
      </x:c>
      <x:c r="I9">
        <x:v>212</x:v>
      </x:c>
      <x:c r="J9" t="s">
        <x:v>15</x:v>
      </x:c>
    </x:row>
    <x:row r="10">
      <x:c r="A10" s="44">
        <x:v>45725</x:v>
      </x:c>
      <x:c r="B10" t="s">
        <x:v>10</x:v>
      </x:c>
      <x:c r="C10" t="s">
        <x:v>11</x:v>
      </x:c>
      <x:c r="D10">
        <x:v>265.2</x:v>
      </x:c>
      <x:c r="E10">
        <x:v>62.3</x:v>
      </x:c>
      <x:c r="F10">
        <x:v>23</x:v>
      </x:c>
      <x:c r="G10">
        <x:v>8</x:v>
      </x:c>
      <x:c r="H10">
        <x:v>1.3</x:v>
      </x:c>
      <x:c r="I10">
        <x:v>335</x:v>
      </x:c>
      <x:c r="J10" t="s">
        <x:v>12</x:v>
      </x:c>
    </x:row>
    <x:row r="11">
      <x:c r="A11" s="44">
        <x:v>45726</x:v>
      </x:c>
      <x:c r="B11" t="s">
        <x:v>17</x:v>
      </x:c>
      <x:c r="C11" t="s">
        <x:v>14</x:v>
      </x:c>
      <x:c r="D11">
        <x:v>312.3</x:v>
      </x:c>
      <x:c r="E11">
        <x:v>64.2</x:v>
      </x:c>
      <x:c r="F11">
        <x:v>21</x:v>
      </x:c>
      <x:c r="G11">
        <x:v>35</x:v>
      </x:c>
      <x:c r="H11">
        <x:v>31.4</x:v>
      </x:c>
      <x:c r="I11">
        <x:v>378</x:v>
      </x:c>
      <x:c r="J11" t="s">
        <x:v>15</x:v>
      </x:c>
    </x:row>
    <x:row r="12">
      <x:c r="A12" s="44">
        <x:v>45727</x:v>
      </x:c>
      <x:c r="B12" t="s">
        <x:v>13</x:v>
      </x:c>
      <x:c r="C12" t="s">
        <x:v>16</x:v>
      </x:c>
      <x:c r="D12">
        <x:v>150</x:v>
      </x:c>
      <x:c r="E12">
        <x:v>52.1</x:v>
      </x:c>
      <x:c r="F12">
        <x:v>3</x:v>
      </x:c>
      <x:c r="G12">
        <x:v>52</x:v>
      </x:c>
      <x:c r="H12">
        <x:v>44.3</x:v>
      </x:c>
      <x:c r="I12">
        <x:v>237</x:v>
      </x:c>
      <x:c r="J12" t="s">
        <x:v>12</x:v>
      </x:c>
    </x:row>
    <x:row r="13">
      <x:c r="A13" s="44">
        <x:v>45728</x:v>
      </x:c>
      <x:c r="B13" t="s">
        <x:v>17</x:v>
      </x:c>
      <x:c r="C13" t="s">
        <x:v>14</x:v>
      </x:c>
      <x:c r="D13">
        <x:v>244.3</x:v>
      </x:c>
      <x:c r="E13">
        <x:v>41.5</x:v>
      </x:c>
      <x:c r="F13">
        <x:v>11</x:v>
      </x:c>
      <x:c r="G13">
        <x:v>56</x:v>
      </x:c>
      <x:c r="H13">
        <x:v>44.4</x:v>
      </x:c>
      <x:c r="I13">
        <x:v>18</x:v>
      </x:c>
      <x:c r="J13" t="s">
        <x:v>15</x:v>
      </x:c>
    </x:row>
    <x:row r="14">
      <x:c r="A14" s="44">
        <x:v>45729</x:v>
      </x:c>
      <x:c r="B14" t="s">
        <x:v>13</x:v>
      </x:c>
      <x:c r="C14" t="s">
        <x:v>14</x:v>
      </x:c>
      <x:c r="D14">
        <x:v>426.7</x:v>
      </x:c>
      <x:c r="E14">
        <x:v>79.5</x:v>
      </x:c>
      <x:c r="F14">
        <x:v>9</x:v>
      </x:c>
      <x:c r="G14">
        <x:v>19</x:v>
      </x:c>
      <x:c r="H14">
        <x:v>22.7</x:v>
      </x:c>
      <x:c r="I14">
        <x:v>155</x:v>
      </x:c>
      <x:c r="J14" t="s">
        <x:v>15</x:v>
      </x:c>
    </x:row>
    <x:row r="15">
      <x:c r="A15" s="44">
        <x:v>45730</x:v>
      </x:c>
      <x:c r="B15" t="s">
        <x:v>10</x:v>
      </x:c>
      <x:c r="C15" t="s">
        <x:v>11</x:v>
      </x:c>
      <x:c r="D15">
        <x:v>490.5</x:v>
      </x:c>
      <x:c r="E15">
        <x:v>49.9</x:v>
      </x:c>
      <x:c r="F15">
        <x:v>10</x:v>
      </x:c>
      <x:c r="G15">
        <x:v>25</x:v>
      </x:c>
      <x:c r="H15">
        <x:v>35.3</x:v>
      </x:c>
      <x:c r="I15">
        <x:v>422</x:v>
      </x:c>
      <x:c r="J15" t="s">
        <x:v>12</x:v>
      </x:c>
    </x:row>
    <x:row r="16">
      <x:c r="A16" s="44">
        <x:v>45731</x:v>
      </x:c>
      <x:c r="B16" t="s">
        <x:v>10</x:v>
      </x:c>
      <x:c r="C16" t="s">
        <x:v>11</x:v>
      </x:c>
      <x:c r="D16">
        <x:v>350.9</x:v>
      </x:c>
      <x:c r="E16">
        <x:v>46.8</x:v>
      </x:c>
      <x:c r="F16">
        <x:v>18</x:v>
      </x:c>
      <x:c r="G16">
        <x:v>33</x:v>
      </x:c>
      <x:c r="H16">
        <x:v>31.9</x:v>
      </x:c>
      <x:c r="I16">
        <x:v>469</x:v>
      </x:c>
      <x:c r="J16" t="s">
        <x:v>12</x:v>
      </x:c>
    </x:row>
    <x:row r="17">
      <x:c r="A17" s="44">
        <x:v>45732</x:v>
      </x:c>
      <x:c r="B17" t="s">
        <x:v>10</x:v>
      </x:c>
      <x:c r="C17" t="s">
        <x:v>16</x:v>
      </x:c>
      <x:c r="D17">
        <x:v>463.2</x:v>
      </x:c>
      <x:c r="E17">
        <x:v>32.4</x:v>
      </x:c>
      <x:c r="F17">
        <x:v>17</x:v>
      </x:c>
      <x:c r="G17">
        <x:v>19</x:v>
      </x:c>
      <x:c r="H17">
        <x:v>25.1</x:v>
      </x:c>
      <x:c r="I17">
        <x:v>384</x:v>
      </x:c>
      <x:c r="J17" t="s">
        <x:v>12</x:v>
      </x:c>
    </x:row>
    <x:row r="18">
      <x:c r="A18" s="44">
        <x:v>45733</x:v>
      </x:c>
      <x:c r="B18" t="s">
        <x:v>10</x:v>
      </x:c>
      <x:c r="C18" t="s">
        <x:v>16</x:v>
      </x:c>
      <x:c r="D18">
        <x:v>115.5</x:v>
      </x:c>
      <x:c r="E18">
        <x:v>115.9</x:v>
      </x:c>
      <x:c r="F18">
        <x:v>0</x:v>
      </x:c>
      <x:c r="G18">
        <x:v>34</x:v>
      </x:c>
      <x:c r="H18">
        <x:v>4.3</x:v>
      </x:c>
      <x:c r="I18">
        <x:v>149</x:v>
      </x:c>
      <x:c r="J18" t="s">
        <x:v>12</x:v>
      </x:c>
    </x:row>
    <x:row r="19">
      <x:c r="A19" s="44">
        <x:v>45734</x:v>
      </x:c>
      <x:c r="B19" t="s">
        <x:v>17</x:v>
      </x:c>
      <x:c r="C19" t="s">
        <x:v>14</x:v>
      </x:c>
      <x:c r="D19">
        <x:v>253.1</x:v>
      </x:c>
      <x:c r="E19">
        <x:v>57.3</x:v>
      </x:c>
      <x:c r="F19">
        <x:v>2</x:v>
      </x:c>
      <x:c r="G19">
        <x:v>49</x:v>
      </x:c>
      <x:c r="H19">
        <x:v>43.5</x:v>
      </x:c>
      <x:c r="I19">
        <x:v>418</x:v>
      </x:c>
      <x:c r="J19" t="s">
        <x:v>12</x:v>
      </x:c>
    </x:row>
    <x:row r="20">
      <x:c r="A20" s="44">
        <x:v>45735</x:v>
      </x:c>
      <x:c r="B20" t="s">
        <x:v>17</x:v>
      </x:c>
      <x:c r="C20" t="s">
        <x:v>11</x:v>
      </x:c>
      <x:c r="D20">
        <x:v>89.40000000000001</x:v>
      </x:c>
      <x:c r="E20">
        <x:v>55.8</x:v>
      </x:c>
      <x:c r="F20">
        <x:v>29</x:v>
      </x:c>
      <x:c r="G20">
        <x:v>19</x:v>
      </x:c>
      <x:c r="H20">
        <x:v>34</x:v>
      </x:c>
      <x:c r="I20">
        <x:v>223</x:v>
      </x:c>
      <x:c r="J20" t="s">
        <x:v>15</x:v>
      </x:c>
    </x:row>
    <x:row r="21">
      <x:c r="A21" s="44">
        <x:v>45736</x:v>
      </x:c>
      <x:c r="B21" t="s">
        <x:v>13</x:v>
      </x:c>
      <x:c r="C21" t="s">
        <x:v>14</x:v>
      </x:c>
      <x:c r="D21">
        <x:v>132.3</x:v>
      </x:c>
      <x:c r="E21">
        <x:v>57.7</x:v>
      </x:c>
      <x:c r="F21">
        <x:v>6</x:v>
      </x:c>
      <x:c r="G21">
        <x:v>30</x:v>
      </x:c>
      <x:c r="H21">
        <x:v>37.2</x:v>
      </x:c>
      <x:c r="I21">
        <x:v>274</x:v>
      </x:c>
      <x:c r="J21" t="s">
        <x:v>15</x:v>
      </x:c>
    </x:row>
    <x:row r="22">
      <x:c r="A22" s="44">
        <x:v>45737</x:v>
      </x:c>
      <x:c r="B22" t="s">
        <x:v>17</x:v>
      </x:c>
      <x:c r="C22" t="s">
        <x:v>11</x:v>
      </x:c>
      <x:c r="D22">
        <x:v>292.1</x:v>
      </x:c>
      <x:c r="E22">
        <x:v>78.3</x:v>
      </x:c>
      <x:c r="F22">
        <x:v>15</x:v>
      </x:c>
      <x:c r="G22">
        <x:v>35</x:v>
      </x:c>
      <x:c r="H22">
        <x:v>8.6</x:v>
      </x:c>
      <x:c r="I22">
        <x:v>328</x:v>
      </x:c>
      <x:c r="J22" t="s">
        <x:v>15</x:v>
      </x:c>
    </x:row>
    <x:row r="23">
      <x:c r="A23" s="44">
        <x:v>45738</x:v>
      </x:c>
      <x:c r="B23" t="s">
        <x:v>13</x:v>
      </x:c>
      <x:c r="C23" t="s">
        <x:v>11</x:v>
      </x:c>
      <x:c r="D23">
        <x:v>355.3</x:v>
      </x:c>
      <x:c r="E23">
        <x:v>28.9</x:v>
      </x:c>
      <x:c r="F23">
        <x:v>22</x:v>
      </x:c>
      <x:c r="G23">
        <x:v>28</x:v>
      </x:c>
      <x:c r="H23">
        <x:v>12.8</x:v>
      </x:c>
      <x:c r="I23">
        <x:v>355</x:v>
      </x:c>
      <x:c r="J23" t="s">
        <x:v>12</x:v>
      </x:c>
    </x:row>
    <x:row r="24">
      <x:c r="A24" s="44">
        <x:v>45739</x:v>
      </x:c>
      <x:c r="B24" t="s">
        <x:v>17</x:v>
      </x:c>
      <x:c r="C24" t="s">
        <x:v>16</x:v>
      </x:c>
      <x:c r="D24">
        <x:v>172.2</x:v>
      </x:c>
      <x:c r="E24">
        <x:v>20.7</x:v>
      </x:c>
      <x:c r="F24">
        <x:v>17</x:v>
      </x:c>
      <x:c r="G24">
        <x:v>52</x:v>
      </x:c>
      <x:c r="H24">
        <x:v>17.2</x:v>
      </x:c>
      <x:c r="I24">
        <x:v>333</x:v>
      </x:c>
      <x:c r="J24" t="s">
        <x:v>12</x:v>
      </x:c>
    </x:row>
    <x:row r="25">
      <x:c r="A25" s="44">
        <x:v>45740</x:v>
      </x:c>
      <x:c r="B25" t="s">
        <x:v>13</x:v>
      </x:c>
      <x:c r="C25" t="s">
        <x:v>14</x:v>
      </x:c>
      <x:c r="D25">
        <x:v>338.2</x:v>
      </x:c>
      <x:c r="E25">
        <x:v>100.1</x:v>
      </x:c>
      <x:c r="F25">
        <x:v>13</x:v>
      </x:c>
      <x:c r="G25">
        <x:v>26</x:v>
      </x:c>
      <x:c r="H25">
        <x:v>15.6</x:v>
      </x:c>
      <x:c r="I25">
        <x:v>107</x:v>
      </x:c>
      <x:c r="J25" t="s">
        <x:v>15</x:v>
      </x:c>
    </x:row>
    <x:row r="26">
      <x:c r="A26" s="44">
        <x:v>45741</x:v>
      </x:c>
      <x:c r="B26" t="s">
        <x:v>13</x:v>
      </x:c>
      <x:c r="C26" t="s">
        <x:v>11</x:v>
      </x:c>
      <x:c r="D26">
        <x:v>445.9</x:v>
      </x:c>
      <x:c r="E26">
        <x:v>100.9</x:v>
      </x:c>
      <x:c r="F26">
        <x:v>0</x:v>
      </x:c>
      <x:c r="G26">
        <x:v>28</x:v>
      </x:c>
      <x:c r="H26">
        <x:v>1.2</x:v>
      </x:c>
      <x:c r="I26">
        <x:v>387</x:v>
      </x:c>
      <x:c r="J26" t="s">
        <x:v>15</x:v>
      </x:c>
    </x:row>
    <x:row r="27">
      <x:c r="A27" s="44">
        <x:v>45742</x:v>
      </x:c>
      <x:c r="B27" t="s">
        <x:v>13</x:v>
      </x:c>
      <x:c r="C27" t="s">
        <x:v>14</x:v>
      </x:c>
      <x:c r="D27">
        <x:v>389.1</x:v>
      </x:c>
      <x:c r="E27">
        <x:v>30.6</x:v>
      </x:c>
      <x:c r="F27">
        <x:v>0</x:v>
      </x:c>
      <x:c r="G27">
        <x:v>41</x:v>
      </x:c>
      <x:c r="H27">
        <x:v>29.2</x:v>
      </x:c>
      <x:c r="I27">
        <x:v>397</x:v>
      </x:c>
      <x:c r="J27" t="s">
        <x:v>15</x:v>
      </x:c>
    </x:row>
    <x:row r="28">
      <x:c r="A28" s="44">
        <x:v>45743</x:v>
      </x:c>
      <x:c r="B28" t="s">
        <x:v>13</x:v>
      </x:c>
      <x:c r="C28" t="s">
        <x:v>14</x:v>
      </x:c>
      <x:c r="D28">
        <x:v>306.7</x:v>
      </x:c>
      <x:c r="E28">
        <x:v>90.59999999999999</x:v>
      </x:c>
      <x:c r="F28">
        <x:v>14</x:v>
      </x:c>
      <x:c r="G28">
        <x:v>15</x:v>
      </x:c>
      <x:c r="H28">
        <x:v>39.5</x:v>
      </x:c>
      <x:c r="I28">
        <x:v>434</x:v>
      </x:c>
      <x:c r="J28" t="s">
        <x:v>12</x:v>
      </x:c>
    </x:row>
    <x:row r="29">
      <x:c r="A29" s="44">
        <x:v>45744</x:v>
      </x:c>
      <x:c r="B29" t="s">
        <x:v>10</x:v>
      </x:c>
      <x:c r="C29" t="s">
        <x:v>14</x:v>
      </x:c>
      <x:c r="D29">
        <x:v>367.8</x:v>
      </x:c>
      <x:c r="E29">
        <x:v>37.8</x:v>
      </x:c>
      <x:c r="F29">
        <x:v>5</x:v>
      </x:c>
      <x:c r="G29">
        <x:v>48</x:v>
      </x:c>
      <x:c r="H29">
        <x:v>5.4</x:v>
      </x:c>
      <x:c r="I29">
        <x:v>154</x:v>
      </x:c>
      <x:c r="J29" t="s">
        <x:v>15</x:v>
      </x:c>
    </x:row>
    <x:row r="30">
      <x:c r="A30" s="44">
        <x:v>45745</x:v>
      </x:c>
      <x:c r="B30" t="s">
        <x:v>10</x:v>
      </x:c>
      <x:c r="C30" t="s">
        <x:v>11</x:v>
      </x:c>
      <x:c r="D30">
        <x:v>198.9</x:v>
      </x:c>
      <x:c r="E30">
        <x:v>48.7</x:v>
      </x:c>
      <x:c r="F30">
        <x:v>6</x:v>
      </x:c>
      <x:c r="G30">
        <x:v>42</x:v>
      </x:c>
      <x:c r="H30">
        <x:v>45.9</x:v>
      </x:c>
      <x:c r="I30">
        <x:v>333</x:v>
      </x:c>
      <x:c r="J30" t="s">
        <x:v>12</x:v>
      </x:c>
    </x:row>
    <x:row r="31">
      <x:c r="A31" s="44">
        <x:v>45746</x:v>
      </x:c>
      <x:c r="B31" t="s">
        <x:v>17</x:v>
      </x:c>
      <x:c r="C31" t="s">
        <x:v>16</x:v>
      </x:c>
      <x:c r="D31">
        <x:v>327.4</x:v>
      </x:c>
      <x:c r="E31">
        <x:v>117.1</x:v>
      </x:c>
      <x:c r="F31">
        <x:v>22</x:v>
      </x:c>
      <x:c r="G31">
        <x:v>12</x:v>
      </x:c>
      <x:c r="H31">
        <x:v>19.6</x:v>
      </x:c>
      <x:c r="I31">
        <x:v>347</x:v>
      </x:c>
      <x:c r="J31" t="s">
        <x:v>15</x:v>
      </x:c>
    </x:row>
    <x:row r="32">
      <x:c r="A32" s="44">
        <x:v>45747</x:v>
      </x:c>
      <x:c r="B32" t="s">
        <x:v>10</x:v>
      </x:c>
      <x:c r="C32" t="s">
        <x:v>11</x:v>
      </x:c>
      <x:c r="D32">
        <x:v>361.6</x:v>
      </x:c>
      <x:c r="E32">
        <x:v>91.3</x:v>
      </x:c>
      <x:c r="F32">
        <x:v>7</x:v>
      </x:c>
      <x:c r="G32">
        <x:v>15</x:v>
      </x:c>
      <x:c r="H32">
        <x:v>27.8</x:v>
      </x:c>
      <x:c r="I32">
        <x:v>421</x:v>
      </x:c>
      <x:c r="J32" t="s">
        <x:v>12</x:v>
      </x:c>
    </x:row>
    <x:row r="33">
      <x:c r="A33" s="44">
        <x:v>45748</x:v>
      </x:c>
      <x:c r="B33" t="s">
        <x:v>17</x:v>
      </x:c>
      <x:c r="C33" t="s">
        <x:v>16</x:v>
      </x:c>
      <x:c r="D33">
        <x:v>70.40000000000001</x:v>
      </x:c>
      <x:c r="E33">
        <x:v>109.7</x:v>
      </x:c>
      <x:c r="F33">
        <x:v>9</x:v>
      </x:c>
      <x:c r="G33">
        <x:v>19</x:v>
      </x:c>
      <x:c r="H33">
        <x:v>28.5</x:v>
      </x:c>
      <x:c r="I33">
        <x:v>108</x:v>
      </x:c>
      <x:c r="J33" t="s">
        <x:v>15</x:v>
      </x:c>
    </x:row>
    <x:row r="34">
      <x:c r="A34" s="44">
        <x:v>45749</x:v>
      </x:c>
      <x:c r="B34" t="s">
        <x:v>17</x:v>
      </x:c>
      <x:c r="C34" t="s">
        <x:v>14</x:v>
      </x:c>
      <x:c r="D34">
        <x:v>66.5</x:v>
      </x:c>
      <x:c r="E34">
        <x:v>35.7</x:v>
      </x:c>
      <x:c r="F34">
        <x:v>4</x:v>
      </x:c>
      <x:c r="G34">
        <x:v>6</x:v>
      </x:c>
      <x:c r="H34">
        <x:v>38.2</x:v>
      </x:c>
      <x:c r="I34">
        <x:v>258</x:v>
      </x:c>
      <x:c r="J34" t="s">
        <x:v>15</x:v>
      </x:c>
    </x:row>
    <x:row r="35">
      <x:c r="A35" s="44">
        <x:v>45750</x:v>
      </x:c>
      <x:c r="B35" t="s">
        <x:v>17</x:v>
      </x:c>
      <x:c r="C35" t="s">
        <x:v>14</x:v>
      </x:c>
      <x:c r="D35">
        <x:v>205</x:v>
      </x:c>
      <x:c r="E35">
        <x:v>68</x:v>
      </x:c>
      <x:c r="F35">
        <x:v>29</x:v>
      </x:c>
      <x:c r="G35">
        <x:v>38</x:v>
      </x:c>
      <x:c r="H35">
        <x:v>42.7</x:v>
      </x:c>
      <x:c r="I35">
        <x:v>495</x:v>
      </x:c>
      <x:c r="J35" t="s">
        <x:v>12</x:v>
      </x:c>
    </x:row>
    <x:row r="36">
      <x:c r="A36" s="44">
        <x:v>45751</x:v>
      </x:c>
      <x:c r="B36" t="s">
        <x:v>13</x:v>
      </x:c>
      <x:c r="C36" t="s">
        <x:v>14</x:v>
      </x:c>
      <x:c r="D36">
        <x:v>414.7</x:v>
      </x:c>
      <x:c r="E36">
        <x:v>31.1</x:v>
      </x:c>
      <x:c r="F36">
        <x:v>2</x:v>
      </x:c>
      <x:c r="G36">
        <x:v>58</x:v>
      </x:c>
      <x:c r="H36">
        <x:v>4.4</x:v>
      </x:c>
      <x:c r="I36">
        <x:v>359</x:v>
      </x:c>
      <x:c r="J36" t="s">
        <x:v>15</x:v>
      </x:c>
    </x:row>
    <x:row r="37">
      <x:c r="A37" s="44">
        <x:v>45752</x:v>
      </x:c>
      <x:c r="B37" t="s">
        <x:v>13</x:v>
      </x:c>
      <x:c r="C37" t="s">
        <x:v>11</x:v>
      </x:c>
      <x:c r="D37">
        <x:v>241.4</x:v>
      </x:c>
      <x:c r="E37">
        <x:v>106.7</x:v>
      </x:c>
      <x:c r="F37">
        <x:v>26</x:v>
      </x:c>
      <x:c r="G37">
        <x:v>52</x:v>
      </x:c>
      <x:c r="H37">
        <x:v>40</x:v>
      </x:c>
      <x:c r="I37">
        <x:v>96</x:v>
      </x:c>
      <x:c r="J37" t="s">
        <x:v>15</x:v>
      </x:c>
    </x:row>
    <x:row r="38">
      <x:c r="A38" s="44">
        <x:v>45753</x:v>
      </x:c>
      <x:c r="B38" t="s">
        <x:v>17</x:v>
      </x:c>
      <x:c r="C38" t="s">
        <x:v>11</x:v>
      </x:c>
      <x:c r="D38">
        <x:v>437.9</x:v>
      </x:c>
      <x:c r="E38">
        <x:v>15.2</x:v>
      </x:c>
      <x:c r="F38">
        <x:v>26</x:v>
      </x:c>
      <x:c r="G38">
        <x:v>56</x:v>
      </x:c>
      <x:c r="H38">
        <x:v>20</x:v>
      </x:c>
      <x:c r="I38">
        <x:v>274</x:v>
      </x:c>
      <x:c r="J38" t="s">
        <x:v>15</x:v>
      </x:c>
    </x:row>
    <x:row r="39">
      <x:c r="A39" s="44">
        <x:v>45754</x:v>
      </x:c>
      <x:c r="B39" t="s">
        <x:v>13</x:v>
      </x:c>
      <x:c r="C39" t="s">
        <x:v>14</x:v>
      </x:c>
      <x:c r="D39">
        <x:v>181.9</x:v>
      </x:c>
      <x:c r="E39">
        <x:v>101.9</x:v>
      </x:c>
      <x:c r="F39">
        <x:v>20</x:v>
      </x:c>
      <x:c r="G39">
        <x:v>56</x:v>
      </x:c>
      <x:c r="H39">
        <x:v>46.2</x:v>
      </x:c>
      <x:c r="I39">
        <x:v>340</x:v>
      </x:c>
      <x:c r="J39" t="s">
        <x:v>15</x:v>
      </x:c>
    </x:row>
    <x:row r="40">
      <x:c r="A40" s="44">
        <x:v>45755</x:v>
      </x:c>
      <x:c r="B40" t="s">
        <x:v>10</x:v>
      </x:c>
      <x:c r="C40" t="s">
        <x:v>11</x:v>
      </x:c>
      <x:c r="D40">
        <x:v>187.1</x:v>
      </x:c>
      <x:c r="E40">
        <x:v>88.90000000000001</x:v>
      </x:c>
      <x:c r="F40">
        <x:v>18</x:v>
      </x:c>
      <x:c r="G40">
        <x:v>33</x:v>
      </x:c>
      <x:c r="H40">
        <x:v>20.4</x:v>
      </x:c>
      <x:c r="I40">
        <x:v>175</x:v>
      </x:c>
      <x:c r="J40" t="s">
        <x:v>15</x:v>
      </x:c>
    </x:row>
    <x:row r="41">
      <x:c r="A41" s="44">
        <x:v>45756</x:v>
      </x:c>
      <x:c r="B41" t="s">
        <x:v>10</x:v>
      </x:c>
      <x:c r="C41" t="s">
        <x:v>14</x:v>
      </x:c>
      <x:c r="D41">
        <x:v>447.1</x:v>
      </x:c>
      <x:c r="E41">
        <x:v>111.4</x:v>
      </x:c>
      <x:c r="F41">
        <x:v>10</x:v>
      </x:c>
      <x:c r="G41">
        <x:v>18</x:v>
      </x:c>
      <x:c r="H41">
        <x:v>34.9</x:v>
      </x:c>
      <x:c r="I41">
        <x:v>313</x:v>
      </x:c>
      <x:c r="J41" t="s">
        <x:v>12</x:v>
      </x:c>
    </x:row>
    <x:row r="42">
      <x:c r="A42" s="44">
        <x:v>45757</x:v>
      </x:c>
      <x:c r="B42" t="s">
        <x:v>13</x:v>
      </x:c>
      <x:c r="C42" t="s">
        <x:v>14</x:v>
      </x:c>
      <x:c r="D42">
        <x:v>220.6</x:v>
      </x:c>
      <x:c r="E42">
        <x:v>100.2</x:v>
      </x:c>
      <x:c r="F42">
        <x:v>29</x:v>
      </x:c>
      <x:c r="G42">
        <x:v>8</x:v>
      </x:c>
      <x:c r="H42">
        <x:v>10.9</x:v>
      </x:c>
      <x:c r="I42">
        <x:v>140</x:v>
      </x:c>
      <x:c r="J42" t="s">
        <x:v>12</x:v>
      </x:c>
    </x:row>
    <x:row r="43">
      <x:c r="A43" s="44">
        <x:v>45758</x:v>
      </x:c>
      <x:c r="B43" t="s">
        <x:v>17</x:v>
      </x:c>
      <x:c r="C43" t="s">
        <x:v>16</x:v>
      </x:c>
      <x:c r="D43">
        <x:v>278.2</x:v>
      </x:c>
      <x:c r="E43">
        <x:v>29.4</x:v>
      </x:c>
      <x:c r="F43">
        <x:v>29</x:v>
      </x:c>
      <x:c r="G43">
        <x:v>28</x:v>
      </x:c>
      <x:c r="H43">
        <x:v>21.8</x:v>
      </x:c>
      <x:c r="I43">
        <x:v>201</x:v>
      </x:c>
      <x:c r="J43" t="s">
        <x:v>15</x:v>
      </x:c>
    </x:row>
    <x:row r="44">
      <x:c r="A44" s="44">
        <x:v>45759</x:v>
      </x:c>
      <x:c r="B44" t="s">
        <x:v>13</x:v>
      </x:c>
      <x:c r="C44" t="s">
        <x:v>14</x:v>
      </x:c>
      <x:c r="D44">
        <x:v>408</x:v>
      </x:c>
      <x:c r="E44">
        <x:v>74.7</x:v>
      </x:c>
      <x:c r="F44">
        <x:v>8</x:v>
      </x:c>
      <x:c r="G44">
        <x:v>44</x:v>
      </x:c>
      <x:c r="H44">
        <x:v>28.9</x:v>
      </x:c>
      <x:c r="I44">
        <x:v>136</x:v>
      </x:c>
      <x:c r="J44" t="s">
        <x:v>12</x:v>
      </x:c>
    </x:row>
    <x:row r="45">
      <x:c r="A45" s="44">
        <x:v>45760</x:v>
      </x:c>
      <x:c r="B45" t="s">
        <x:v>13</x:v>
      </x:c>
      <x:c r="C45" t="s">
        <x:v>14</x:v>
      </x:c>
      <x:c r="D45">
        <x:v>201.2</x:v>
      </x:c>
      <x:c r="E45">
        <x:v>92</x:v>
      </x:c>
      <x:c r="F45">
        <x:v>17</x:v>
      </x:c>
      <x:c r="G45">
        <x:v>25</x:v>
      </x:c>
      <x:c r="H45">
        <x:v>11.1</x:v>
      </x:c>
      <x:c r="I45">
        <x:v>174</x:v>
      </x:c>
      <x:c r="J45" t="s">
        <x:v>15</x:v>
      </x:c>
    </x:row>
    <x:row r="46">
      <x:c r="A46" s="44">
        <x:v>45761</x:v>
      </x:c>
      <x:c r="B46" t="s">
        <x:v>10</x:v>
      </x:c>
      <x:c r="C46" t="s">
        <x:v>14</x:v>
      </x:c>
      <x:c r="D46">
        <x:v>52.2</x:v>
      </x:c>
      <x:c r="E46">
        <x:v>117.3</x:v>
      </x:c>
      <x:c r="F46">
        <x:v>10</x:v>
      </x:c>
      <x:c r="G46">
        <x:v>27</x:v>
      </x:c>
      <x:c r="H46">
        <x:v>34.3</x:v>
      </x:c>
      <x:c r="I46">
        <x:v>386</x:v>
      </x:c>
      <x:c r="J46" t="s">
        <x:v>15</x:v>
      </x:c>
    </x:row>
    <x:row r="47">
      <x:c r="A47" s="44">
        <x:v>45762</x:v>
      </x:c>
      <x:c r="B47" t="s">
        <x:v>13</x:v>
      </x:c>
      <x:c r="C47" t="s">
        <x:v>16</x:v>
      </x:c>
      <x:c r="D47">
        <x:v>313.3</x:v>
      </x:c>
      <x:c r="E47">
        <x:v>80.90000000000001</x:v>
      </x:c>
      <x:c r="F47">
        <x:v>20</x:v>
      </x:c>
      <x:c r="G47">
        <x:v>40</x:v>
      </x:c>
      <x:c r="H47">
        <x:v>35.3</x:v>
      </x:c>
      <x:c r="I47">
        <x:v>480</x:v>
      </x:c>
      <x:c r="J47" t="s">
        <x:v>12</x:v>
      </x:c>
    </x:row>
    <x:row r="48">
      <x:c r="A48" s="44">
        <x:v>45763</x:v>
      </x:c>
      <x:c r="B48" t="s">
        <x:v>13</x:v>
      </x:c>
      <x:c r="C48" t="s">
        <x:v>11</x:v>
      </x:c>
      <x:c r="D48">
        <x:v>207.3</x:v>
      </x:c>
      <x:c r="E48">
        <x:v>45.2</x:v>
      </x:c>
      <x:c r="F48">
        <x:v>19</x:v>
      </x:c>
      <x:c r="G48">
        <x:v>34</x:v>
      </x:c>
      <x:c r="H48">
        <x:v>14.1</x:v>
      </x:c>
      <x:c r="I48">
        <x:v>31</x:v>
      </x:c>
      <x:c r="J48" t="s">
        <x:v>12</x:v>
      </x:c>
    </x:row>
    <x:row r="49">
      <x:c r="A49" s="44">
        <x:v>45764</x:v>
      </x:c>
      <x:c r="B49" t="s">
        <x:v>17</x:v>
      </x:c>
      <x:c r="C49" t="s">
        <x:v>14</x:v>
      </x:c>
      <x:c r="D49">
        <x:v>254.3</x:v>
      </x:c>
      <x:c r="E49">
        <x:v>96.90000000000001</x:v>
      </x:c>
      <x:c r="F49">
        <x:v>24</x:v>
      </x:c>
      <x:c r="G49">
        <x:v>33</x:v>
      </x:c>
      <x:c r="H49">
        <x:v>35.2</x:v>
      </x:c>
      <x:c r="I49">
        <x:v>429</x:v>
      </x:c>
      <x:c r="J49" t="s">
        <x:v>12</x:v>
      </x:c>
    </x:row>
    <x:row r="50">
      <x:c r="A50" s="44">
        <x:v>45765</x:v>
      </x:c>
      <x:c r="B50" t="s">
        <x:v>17</x:v>
      </x:c>
      <x:c r="C50" t="s">
        <x:v>11</x:v>
      </x:c>
      <x:c r="D50">
        <x:v>181.6</x:v>
      </x:c>
      <x:c r="E50">
        <x:v>11.9</x:v>
      </x:c>
      <x:c r="F50">
        <x:v>15</x:v>
      </x:c>
      <x:c r="G50">
        <x:v>45</x:v>
      </x:c>
      <x:c r="H50">
        <x:v>27.1</x:v>
      </x:c>
      <x:c r="I50">
        <x:v>89</x:v>
      </x:c>
      <x:c r="J50" t="s">
        <x:v>12</x:v>
      </x:c>
    </x:row>
    <x:row r="51">
      <x:c r="A51" s="44">
        <x:v>45766</x:v>
      </x:c>
      <x:c r="B51" t="s">
        <x:v>13</x:v>
      </x:c>
      <x:c r="C51" t="s">
        <x:v>14</x:v>
      </x:c>
      <x:c r="D51">
        <x:v>345</x:v>
      </x:c>
      <x:c r="E51">
        <x:v>70.7</x:v>
      </x:c>
      <x:c r="F51">
        <x:v>1</x:v>
      </x:c>
      <x:c r="G51">
        <x:v>11</x:v>
      </x:c>
      <x:c r="H51">
        <x:v>33.1</x:v>
      </x:c>
      <x:c r="I51">
        <x:v>237</x:v>
      </x:c>
      <x:c r="J51" t="s">
        <x:v>12</x:v>
      </x:c>
    </x:row>
    <x:row r="52">
      <x:c r="A52" s="44">
        <x:v>45767</x:v>
      </x:c>
      <x:c r="B52" t="s">
        <x:v>17</x:v>
      </x:c>
      <x:c r="C52" t="s">
        <x:v>11</x:v>
      </x:c>
      <x:c r="D52">
        <x:v>271.3</x:v>
      </x:c>
      <x:c r="E52">
        <x:v>78.40000000000001</x:v>
      </x:c>
      <x:c r="F52">
        <x:v>16</x:v>
      </x:c>
      <x:c r="G52">
        <x:v>17</x:v>
      </x:c>
      <x:c r="H52">
        <x:v>26.6</x:v>
      </x:c>
      <x:c r="I52">
        <x:v>148</x:v>
      </x:c>
      <x:c r="J52" t="s">
        <x:v>12</x:v>
      </x:c>
    </x:row>
    <x:row r="53">
      <x:c r="A53" s="44">
        <x:v>45768</x:v>
      </x:c>
      <x:c r="B53" t="s">
        <x:v>13</x:v>
      </x:c>
      <x:c r="C53" t="s">
        <x:v>16</x:v>
      </x:c>
      <x:c r="D53">
        <x:v>417.6</x:v>
      </x:c>
      <x:c r="E53">
        <x:v>40.3</x:v>
      </x:c>
      <x:c r="F53">
        <x:v>1</x:v>
      </x:c>
      <x:c r="G53">
        <x:v>37</x:v>
      </x:c>
      <x:c r="H53">
        <x:v>1.7</x:v>
      </x:c>
      <x:c r="I53">
        <x:v>414</x:v>
      </x:c>
      <x:c r="J53" t="s">
        <x:v>15</x:v>
      </x:c>
    </x:row>
    <x:row r="54">
      <x:c r="A54" s="44">
        <x:v>45769</x:v>
      </x:c>
      <x:c r="B54" t="s">
        <x:v>10</x:v>
      </x:c>
      <x:c r="C54" t="s">
        <x:v>11</x:v>
      </x:c>
      <x:c r="D54">
        <x:v>213.6</x:v>
      </x:c>
      <x:c r="E54">
        <x:v>52.7</x:v>
      </x:c>
      <x:c r="F54">
        <x:v>23</x:v>
      </x:c>
      <x:c r="G54">
        <x:v>38</x:v>
      </x:c>
      <x:c r="H54">
        <x:v>42.9</x:v>
      </x:c>
      <x:c r="I54">
        <x:v>266</x:v>
      </x:c>
      <x:c r="J54" t="s">
        <x:v>12</x:v>
      </x:c>
    </x:row>
    <x:row r="55">
      <x:c r="A55" s="44">
        <x:v>45770</x:v>
      </x:c>
      <x:c r="B55" t="s">
        <x:v>13</x:v>
      </x:c>
      <x:c r="C55" t="s">
        <x:v>14</x:v>
      </x:c>
      <x:c r="D55">
        <x:v>159.3</x:v>
      </x:c>
      <x:c r="E55">
        <x:v>106.4</x:v>
      </x:c>
      <x:c r="F55">
        <x:v>14</x:v>
      </x:c>
      <x:c r="G55">
        <x:v>56</x:v>
      </x:c>
      <x:c r="H55">
        <x:v>40.3</x:v>
      </x:c>
      <x:c r="I55">
        <x:v>19</x:v>
      </x:c>
      <x:c r="J55" t="s">
        <x:v>12</x:v>
      </x:c>
    </x:row>
    <x:row r="56">
      <x:c r="A56" s="44">
        <x:v>45771</x:v>
      </x:c>
      <x:c r="B56" t="s">
        <x:v>10</x:v>
      </x:c>
      <x:c r="C56" t="s">
        <x:v>11</x:v>
      </x:c>
      <x:c r="D56">
        <x:v>289.2</x:v>
      </x:c>
      <x:c r="E56">
        <x:v>118.5</x:v>
      </x:c>
      <x:c r="F56">
        <x:v>12</x:v>
      </x:c>
      <x:c r="G56">
        <x:v>11</x:v>
      </x:c>
      <x:c r="H56">
        <x:v>13.2</x:v>
      </x:c>
      <x:c r="I56">
        <x:v>357</x:v>
      </x:c>
      <x:c r="J56" t="s">
        <x:v>15</x:v>
      </x:c>
    </x:row>
    <x:row r="57">
      <x:c r="A57" s="44">
        <x:v>45772</x:v>
      </x:c>
      <x:c r="B57" t="s">
        <x:v>13</x:v>
      </x:c>
      <x:c r="C57" t="s">
        <x:v>11</x:v>
      </x:c>
      <x:c r="D57">
        <x:v>395.5</x:v>
      </x:c>
      <x:c r="E57">
        <x:v>25.3</x:v>
      </x:c>
      <x:c r="F57">
        <x:v>18</x:v>
      </x:c>
      <x:c r="G57">
        <x:v>32</x:v>
      </x:c>
      <x:c r="H57">
        <x:v>11.3</x:v>
      </x:c>
      <x:c r="I57">
        <x:v>218</x:v>
      </x:c>
      <x:c r="J57" t="s">
        <x:v>12</x:v>
      </x:c>
    </x:row>
    <x:row r="58">
      <x:c r="A58" s="44">
        <x:v>45773</x:v>
      </x:c>
      <x:c r="B58" t="s">
        <x:v>10</x:v>
      </x:c>
      <x:c r="C58" t="s">
        <x:v>14</x:v>
      </x:c>
      <x:c r="D58">
        <x:v>470.9</x:v>
      </x:c>
      <x:c r="E58">
        <x:v>113.5</x:v>
      </x:c>
      <x:c r="F58">
        <x:v>29</x:v>
      </x:c>
      <x:c r="G58">
        <x:v>15</x:v>
      </x:c>
      <x:c r="H58">
        <x:v>6.8</x:v>
      </x:c>
      <x:c r="I58">
        <x:v>172</x:v>
      </x:c>
      <x:c r="J58" t="s">
        <x:v>15</x:v>
      </x:c>
    </x:row>
    <x:row r="59">
      <x:c r="A59" s="44">
        <x:v>45774</x:v>
      </x:c>
      <x:c r="B59" t="s">
        <x:v>10</x:v>
      </x:c>
      <x:c r="C59" t="s">
        <x:v>16</x:v>
      </x:c>
      <x:c r="D59">
        <x:v>168.1</x:v>
      </x:c>
      <x:c r="E59">
        <x:v>55.7</x:v>
      </x:c>
      <x:c r="F59">
        <x:v>29</x:v>
      </x:c>
      <x:c r="G59">
        <x:v>43</x:v>
      </x:c>
      <x:c r="H59">
        <x:v>38.1</x:v>
      </x:c>
      <x:c r="I59">
        <x:v>140</x:v>
      </x:c>
      <x:c r="J59" t="s">
        <x:v>12</x:v>
      </x:c>
    </x:row>
    <x:row r="60">
      <x:c r="A60" s="44">
        <x:v>45775</x:v>
      </x:c>
      <x:c r="B60" t="s">
        <x:v>10</x:v>
      </x:c>
      <x:c r="C60" t="s">
        <x:v>14</x:v>
      </x:c>
      <x:c r="D60">
        <x:v>80.8</x:v>
      </x:c>
      <x:c r="E60">
        <x:v>64.5</x:v>
      </x:c>
      <x:c r="F60">
        <x:v>21</x:v>
      </x:c>
      <x:c r="G60">
        <x:v>54</x:v>
      </x:c>
      <x:c r="H60">
        <x:v>41.2</x:v>
      </x:c>
      <x:c r="I60">
        <x:v>169</x:v>
      </x:c>
      <x:c r="J60" t="s">
        <x:v>12</x:v>
      </x:c>
    </x:row>
    <x:row r="61">
      <x:c r="A61" s="44">
        <x:v>45776</x:v>
      </x:c>
      <x:c r="B61" t="s">
        <x:v>17</x:v>
      </x:c>
      <x:c r="C61" t="s">
        <x:v>11</x:v>
      </x:c>
      <x:c r="D61">
        <x:v>222.6</x:v>
      </x:c>
      <x:c r="E61">
        <x:v>89.40000000000001</x:v>
      </x:c>
      <x:c r="F61">
        <x:v>10</x:v>
      </x:c>
      <x:c r="G61">
        <x:v>14</x:v>
      </x:c>
      <x:c r="H61">
        <x:v>40.3</x:v>
      </x:c>
      <x:c r="I61">
        <x:v>287</x:v>
      </x:c>
      <x:c r="J61" t="s">
        <x:v>15</x:v>
      </x:c>
    </x:row>
    <x:row r="62">
      <x:c r="A62" s="44">
        <x:v>45777</x:v>
      </x:c>
      <x:c r="B62" t="s">
        <x:v>13</x:v>
      </x:c>
      <x:c r="C62" t="s">
        <x:v>11</x:v>
      </x:c>
      <x:c r="D62">
        <x:v>384.8</x:v>
      </x:c>
      <x:c r="E62">
        <x:v>72.2</x:v>
      </x:c>
      <x:c r="F62">
        <x:v>2</x:v>
      </x:c>
      <x:c r="G62">
        <x:v>19</x:v>
      </x:c>
      <x:c r="H62">
        <x:v>29.7</x:v>
      </x:c>
      <x:c r="I62">
        <x:v>173</x:v>
      </x:c>
      <x:c r="J62" t="s">
        <x:v>12</x:v>
      </x:c>
    </x:row>
    <x:row r="63">
      <x:c r="A63" s="44">
        <x:v>45778</x:v>
      </x:c>
      <x:c r="B63" t="s">
        <x:v>13</x:v>
      </x:c>
      <x:c r="C63" t="s">
        <x:v>11</x:v>
      </x:c>
      <x:c r="D63">
        <x:v>321.5</x:v>
      </x:c>
      <x:c r="E63">
        <x:v>75.09999999999999</x:v>
      </x:c>
      <x:c r="F63">
        <x:v>14</x:v>
      </x:c>
      <x:c r="G63">
        <x:v>14</x:v>
      </x:c>
      <x:c r="H63">
        <x:v>18.2</x:v>
      </x:c>
      <x:c r="I63">
        <x:v>318</x:v>
      </x:c>
      <x:c r="J63" t="s">
        <x:v>15</x:v>
      </x:c>
    </x:row>
    <x:row r="64">
      <x:c r="A64" s="44">
        <x:v>45779</x:v>
      </x:c>
      <x:c r="B64" t="s">
        <x:v>17</x:v>
      </x:c>
      <x:c r="C64" t="s">
        <x:v>16</x:v>
      </x:c>
      <x:c r="D64">
        <x:v>394.7</x:v>
      </x:c>
      <x:c r="E64">
        <x:v>64.2</x:v>
      </x:c>
      <x:c r="F64">
        <x:v>15</x:v>
      </x:c>
      <x:c r="G64">
        <x:v>5</x:v>
      </x:c>
      <x:c r="H64">
        <x:v>47.1</x:v>
      </x:c>
      <x:c r="I64">
        <x:v>269</x:v>
      </x:c>
      <x:c r="J64" t="s">
        <x:v>15</x:v>
      </x:c>
    </x:row>
    <x:row r="65">
      <x:c r="A65" s="44">
        <x:v>45780</x:v>
      </x:c>
      <x:c r="B65" t="s">
        <x:v>17</x:v>
      </x:c>
      <x:c r="C65" t="s">
        <x:v>11</x:v>
      </x:c>
      <x:c r="D65">
        <x:v>281.5</x:v>
      </x:c>
      <x:c r="E65">
        <x:v>40.6</x:v>
      </x:c>
      <x:c r="F65">
        <x:v>5</x:v>
      </x:c>
      <x:c r="G65">
        <x:v>36</x:v>
      </x:c>
      <x:c r="H65">
        <x:v>32.9</x:v>
      </x:c>
      <x:c r="I65">
        <x:v>226</x:v>
      </x:c>
      <x:c r="J65" t="s">
        <x:v>12</x:v>
      </x:c>
    </x:row>
    <x:row r="66">
      <x:c r="A66" s="44">
        <x:v>45781</x:v>
      </x:c>
      <x:c r="B66" t="s">
        <x:v>13</x:v>
      </x:c>
      <x:c r="C66" t="s">
        <x:v>14</x:v>
      </x:c>
      <x:c r="D66">
        <x:v>200</x:v>
      </x:c>
      <x:c r="E66">
        <x:v>47.8</x:v>
      </x:c>
      <x:c r="F66">
        <x:v>9</x:v>
      </x:c>
      <x:c r="G66">
        <x:v>57</x:v>
      </x:c>
      <x:c r="H66">
        <x:v>22.3</x:v>
      </x:c>
      <x:c r="I66">
        <x:v>91</x:v>
      </x:c>
      <x:c r="J66" t="s">
        <x:v>12</x:v>
      </x:c>
    </x:row>
    <x:row r="67">
      <x:c r="A67" s="44">
        <x:v>45782</x:v>
      </x:c>
      <x:c r="B67" t="s">
        <x:v>17</x:v>
      </x:c>
      <x:c r="C67" t="s">
        <x:v>11</x:v>
      </x:c>
      <x:c r="D67">
        <x:v>329.8</x:v>
      </x:c>
      <x:c r="E67">
        <x:v>112.5</x:v>
      </x:c>
      <x:c r="F67">
        <x:v>4</x:v>
      </x:c>
      <x:c r="G67">
        <x:v>59</x:v>
      </x:c>
      <x:c r="H67">
        <x:v>31.3</x:v>
      </x:c>
      <x:c r="I67">
        <x:v>86</x:v>
      </x:c>
      <x:c r="J67" t="s">
        <x:v>12</x:v>
      </x:c>
    </x:row>
    <x:row r="68">
      <x:c r="A68" s="44">
        <x:v>45783</x:v>
      </x:c>
      <x:c r="B68" t="s">
        <x:v>10</x:v>
      </x:c>
      <x:c r="C68" t="s">
        <x:v>14</x:v>
      </x:c>
      <x:c r="D68">
        <x:v>387.6</x:v>
      </x:c>
      <x:c r="E68">
        <x:v>78.59999999999999</x:v>
      </x:c>
      <x:c r="F68">
        <x:v>2</x:v>
      </x:c>
      <x:c r="G68">
        <x:v>56</x:v>
      </x:c>
      <x:c r="H68">
        <x:v>39.9</x:v>
      </x:c>
      <x:c r="I68">
        <x:v>179</x:v>
      </x:c>
      <x:c r="J68" t="s">
        <x:v>15</x:v>
      </x:c>
    </x:row>
    <x:row r="69">
      <x:c r="A69" s="44">
        <x:v>45784</x:v>
      </x:c>
      <x:c r="B69" t="s">
        <x:v>13</x:v>
      </x:c>
      <x:c r="C69" t="s">
        <x:v>14</x:v>
      </x:c>
      <x:c r="D69">
        <x:v>334.1</x:v>
      </x:c>
      <x:c r="E69">
        <x:v>101.5</x:v>
      </x:c>
      <x:c r="F69">
        <x:v>12</x:v>
      </x:c>
      <x:c r="G69">
        <x:v>35</x:v>
      </x:c>
      <x:c r="H69">
        <x:v>32</x:v>
      </x:c>
      <x:c r="I69">
        <x:v>335</x:v>
      </x:c>
      <x:c r="J69" t="s">
        <x:v>15</x:v>
      </x:c>
    </x:row>
    <x:row r="70">
      <x:c r="A70" s="44">
        <x:v>45785</x:v>
      </x:c>
      <x:c r="B70" t="s">
        <x:v>17</x:v>
      </x:c>
      <x:c r="C70" t="s">
        <x:v>16</x:v>
      </x:c>
      <x:c r="D70">
        <x:v>59.7</x:v>
      </x:c>
      <x:c r="E70">
        <x:v>50.4</x:v>
      </x:c>
      <x:c r="F70">
        <x:v>7</x:v>
      </x:c>
      <x:c r="G70">
        <x:v>52</x:v>
      </x:c>
      <x:c r="H70">
        <x:v>41.5</x:v>
      </x:c>
      <x:c r="I70">
        <x:v>319</x:v>
      </x:c>
      <x:c r="J70" t="s">
        <x:v>12</x:v>
      </x:c>
    </x:row>
    <x:row r="71">
      <x:c r="A71" s="44">
        <x:v>45786</x:v>
      </x:c>
      <x:c r="B71" t="s">
        <x:v>17</x:v>
      </x:c>
      <x:c r="C71" t="s">
        <x:v>14</x:v>
      </x:c>
      <x:c r="D71">
        <x:v>198.1</x:v>
      </x:c>
      <x:c r="E71">
        <x:v>113</x:v>
      </x:c>
      <x:c r="F71">
        <x:v>29</x:v>
      </x:c>
      <x:c r="G71">
        <x:v>52</x:v>
      </x:c>
      <x:c r="H71">
        <x:v>7.6</x:v>
      </x:c>
      <x:c r="I71">
        <x:v>49</x:v>
      </x:c>
      <x:c r="J71" t="s">
        <x:v>15</x:v>
      </x:c>
    </x:row>
    <x:row r="72">
      <x:c r="A72" s="44">
        <x:v>45787</x:v>
      </x:c>
      <x:c r="B72" t="s">
        <x:v>17</x:v>
      </x:c>
      <x:c r="C72" t="s">
        <x:v>11</x:v>
      </x:c>
      <x:c r="D72">
        <x:v>254.8</x:v>
      </x:c>
      <x:c r="E72">
        <x:v>70.8</x:v>
      </x:c>
      <x:c r="F72">
        <x:v>9</x:v>
      </x:c>
      <x:c r="G72">
        <x:v>28</x:v>
      </x:c>
      <x:c r="H72">
        <x:v>12.2</x:v>
      </x:c>
      <x:c r="I72">
        <x:v>111</x:v>
      </x:c>
      <x:c r="J72" t="s">
        <x:v>15</x:v>
      </x:c>
    </x:row>
    <x:row r="73">
      <x:c r="A73" s="44">
        <x:v>45788</x:v>
      </x:c>
      <x:c r="B73" t="s">
        <x:v>13</x:v>
      </x:c>
      <x:c r="C73" t="s">
        <x:v>14</x:v>
      </x:c>
      <x:c r="D73">
        <x:v>202.9</x:v>
      </x:c>
      <x:c r="E73">
        <x:v>40.3</x:v>
      </x:c>
      <x:c r="F73">
        <x:v>27</x:v>
      </x:c>
      <x:c r="G73">
        <x:v>8</x:v>
      </x:c>
      <x:c r="H73">
        <x:v>1.3</x:v>
      </x:c>
      <x:c r="I73">
        <x:v>171</x:v>
      </x:c>
      <x:c r="J73" t="s">
        <x:v>12</x:v>
      </x:c>
    </x:row>
    <x:row r="74">
      <x:c r="A74" s="44">
        <x:v>45789</x:v>
      </x:c>
      <x:c r="B74" t="s">
        <x:v>13</x:v>
      </x:c>
      <x:c r="C74" t="s">
        <x:v>16</x:v>
      </x:c>
      <x:c r="D74">
        <x:v>119.1</x:v>
      </x:c>
      <x:c r="E74">
        <x:v>87.40000000000001</x:v>
      </x:c>
      <x:c r="F74">
        <x:v>14</x:v>
      </x:c>
      <x:c r="G74">
        <x:v>20</x:v>
      </x:c>
      <x:c r="H74">
        <x:v>47.2</x:v>
      </x:c>
      <x:c r="I74">
        <x:v>365</x:v>
      </x:c>
      <x:c r="J74" t="s">
        <x:v>15</x:v>
      </x:c>
    </x:row>
    <x:row r="75">
      <x:c r="A75" s="44">
        <x:v>45790</x:v>
      </x:c>
      <x:c r="B75" t="s">
        <x:v>10</x:v>
      </x:c>
      <x:c r="C75" t="s">
        <x:v>14</x:v>
      </x:c>
      <x:c r="D75">
        <x:v>354</x:v>
      </x:c>
      <x:c r="E75">
        <x:v>37.7</x:v>
      </x:c>
      <x:c r="F75">
        <x:v>28</x:v>
      </x:c>
      <x:c r="G75">
        <x:v>5</x:v>
      </x:c>
      <x:c r="H75">
        <x:v>29</x:v>
      </x:c>
      <x:c r="I75">
        <x:v>50</x:v>
      </x:c>
      <x:c r="J75" t="s">
        <x:v>12</x:v>
      </x:c>
    </x:row>
    <x:row r="76">
      <x:c r="A76" s="44">
        <x:v>45791</x:v>
      </x:c>
      <x:c r="B76" t="s">
        <x:v>10</x:v>
      </x:c>
      <x:c r="C76" t="s">
        <x:v>16</x:v>
      </x:c>
      <x:c r="D76">
        <x:v>57.1</x:v>
      </x:c>
      <x:c r="E76">
        <x:v>71.5</x:v>
      </x:c>
      <x:c r="F76">
        <x:v>15</x:v>
      </x:c>
      <x:c r="G76">
        <x:v>21</x:v>
      </x:c>
      <x:c r="H76">
        <x:v>13.1</x:v>
      </x:c>
      <x:c r="I76">
        <x:v>326</x:v>
      </x:c>
      <x:c r="J76" t="s">
        <x:v>15</x:v>
      </x:c>
    </x:row>
    <x:row r="77">
      <x:c r="A77" s="44">
        <x:v>45792</x:v>
      </x:c>
      <x:c r="B77" t="s">
        <x:v>17</x:v>
      </x:c>
      <x:c r="C77" t="s">
        <x:v>11</x:v>
      </x:c>
      <x:c r="D77">
        <x:v>267.1</x:v>
      </x:c>
      <x:c r="E77">
        <x:v>65.59999999999999</x:v>
      </x:c>
      <x:c r="F77">
        <x:v>2</x:v>
      </x:c>
      <x:c r="G77">
        <x:v>39</x:v>
      </x:c>
      <x:c r="H77">
        <x:v>7.9</x:v>
      </x:c>
      <x:c r="I77">
        <x:v>133</x:v>
      </x:c>
      <x:c r="J77" t="s">
        <x:v>15</x:v>
      </x:c>
    </x:row>
    <x:row r="78">
      <x:c r="A78" s="44">
        <x:v>45793</x:v>
      </x:c>
      <x:c r="B78" t="s">
        <x:v>17</x:v>
      </x:c>
      <x:c r="C78" t="s">
        <x:v>16</x:v>
      </x:c>
      <x:c r="D78">
        <x:v>63.9</x:v>
      </x:c>
      <x:c r="E78">
        <x:v>15.9</x:v>
      </x:c>
      <x:c r="F78">
        <x:v>19</x:v>
      </x:c>
      <x:c r="G78">
        <x:v>55</x:v>
      </x:c>
      <x:c r="H78">
        <x:v>39</x:v>
      </x:c>
      <x:c r="I78">
        <x:v>160</x:v>
      </x:c>
      <x:c r="J78" t="s">
        <x:v>12</x:v>
      </x:c>
    </x:row>
    <x:row r="79">
      <x:c r="A79" s="44">
        <x:v>45794</x:v>
      </x:c>
      <x:c r="B79" t="s">
        <x:v>10</x:v>
      </x:c>
      <x:c r="C79" t="s">
        <x:v>16</x:v>
      </x:c>
      <x:c r="D79">
        <x:v>187.7</x:v>
      </x:c>
      <x:c r="E79">
        <x:v>96.90000000000001</x:v>
      </x:c>
      <x:c r="F79">
        <x:v>12</x:v>
      </x:c>
      <x:c r="G79">
        <x:v>24</x:v>
      </x:c>
      <x:c r="H79">
        <x:v>28</x:v>
      </x:c>
      <x:c r="I79">
        <x:v>25</x:v>
      </x:c>
      <x:c r="J79" t="s">
        <x:v>15</x:v>
      </x:c>
    </x:row>
    <x:row r="80">
      <x:c r="A80" s="44">
        <x:v>45795</x:v>
      </x:c>
      <x:c r="B80" t="s">
        <x:v>10</x:v>
      </x:c>
      <x:c r="C80" t="s">
        <x:v>16</x:v>
      </x:c>
      <x:c r="D80">
        <x:v>482.8</x:v>
      </x:c>
      <x:c r="E80">
        <x:v>33.5</x:v>
      </x:c>
      <x:c r="F80">
        <x:v>1</x:v>
      </x:c>
      <x:c r="G80">
        <x:v>12</x:v>
      </x:c>
      <x:c r="H80">
        <x:v>1.2</x:v>
      </x:c>
      <x:c r="I80">
        <x:v>301</x:v>
      </x:c>
      <x:c r="J80" t="s">
        <x:v>15</x:v>
      </x:c>
    </x:row>
    <x:row r="81">
      <x:c r="A81" s="44">
        <x:v>45796</x:v>
      </x:c>
      <x:c r="B81" t="s">
        <x:v>13</x:v>
      </x:c>
      <x:c r="C81" t="s">
        <x:v>14</x:v>
      </x:c>
      <x:c r="D81">
        <x:v>470.4</x:v>
      </x:c>
      <x:c r="E81">
        <x:v>16</x:v>
      </x:c>
      <x:c r="F81">
        <x:v>24</x:v>
      </x:c>
      <x:c r="G81">
        <x:v>15</x:v>
      </x:c>
      <x:c r="H81">
        <x:v>8</x:v>
      </x:c>
      <x:c r="I81">
        <x:v>39</x:v>
      </x:c>
      <x:c r="J81" t="s">
        <x:v>12</x:v>
      </x:c>
    </x:row>
    <x:row r="82">
      <x:c r="A82" s="44">
        <x:v>45797</x:v>
      </x:c>
      <x:c r="B82" t="s">
        <x:v>17</x:v>
      </x:c>
      <x:c r="C82" t="s">
        <x:v>14</x:v>
      </x:c>
      <x:c r="D82">
        <x:v>239.3</x:v>
      </x:c>
      <x:c r="E82">
        <x:v>41.2</x:v>
      </x:c>
      <x:c r="F82">
        <x:v>2</x:v>
      </x:c>
      <x:c r="G82">
        <x:v>12</x:v>
      </x:c>
      <x:c r="H82">
        <x:v>41.9</x:v>
      </x:c>
      <x:c r="I82">
        <x:v>106</x:v>
      </x:c>
      <x:c r="J82" t="s">
        <x:v>15</x:v>
      </x:c>
    </x:row>
    <x:row r="83">
      <x:c r="A83" s="44">
        <x:v>45798</x:v>
      </x:c>
      <x:c r="B83" t="s">
        <x:v>17</x:v>
      </x:c>
      <x:c r="C83" t="s">
        <x:v>16</x:v>
      </x:c>
      <x:c r="D83">
        <x:v>104.7</x:v>
      </x:c>
      <x:c r="E83">
        <x:v>70.5</x:v>
      </x:c>
      <x:c r="F83">
        <x:v>14</x:v>
      </x:c>
      <x:c r="G83">
        <x:v>21</x:v>
      </x:c>
      <x:c r="H83">
        <x:v>27.7</x:v>
      </x:c>
      <x:c r="I83">
        <x:v>393</x:v>
      </x:c>
      <x:c r="J83" t="s">
        <x:v>12</x:v>
      </x:c>
    </x:row>
    <x:row r="84">
      <x:c r="A84" s="44">
        <x:v>45799</x:v>
      </x:c>
      <x:c r="B84" t="s">
        <x:v>17</x:v>
      </x:c>
      <x:c r="C84" t="s">
        <x:v>16</x:v>
      </x:c>
      <x:c r="D84">
        <x:v>477.1</x:v>
      </x:c>
      <x:c r="E84">
        <x:v>68.2</x:v>
      </x:c>
      <x:c r="F84">
        <x:v>28</x:v>
      </x:c>
      <x:c r="G84">
        <x:v>16</x:v>
      </x:c>
      <x:c r="H84">
        <x:v>19.4</x:v>
      </x:c>
      <x:c r="I84">
        <x:v>38</x:v>
      </x:c>
      <x:c r="J84" t="s">
        <x:v>12</x:v>
      </x:c>
    </x:row>
    <x:row r="85">
      <x:c r="A85" s="44">
        <x:v>45800</x:v>
      </x:c>
      <x:c r="B85" t="s">
        <x:v>13</x:v>
      </x:c>
      <x:c r="C85" t="s">
        <x:v>11</x:v>
      </x:c>
      <x:c r="D85">
        <x:v>475.9</x:v>
      </x:c>
      <x:c r="E85">
        <x:v>78.40000000000001</x:v>
      </x:c>
      <x:c r="F85">
        <x:v>2</x:v>
      </x:c>
      <x:c r="G85">
        <x:v>47</x:v>
      </x:c>
      <x:c r="H85">
        <x:v>46.7</x:v>
      </x:c>
      <x:c r="I85">
        <x:v>305</x:v>
      </x:c>
      <x:c r="J85" t="s">
        <x:v>15</x:v>
      </x:c>
    </x:row>
    <x:row r="86">
      <x:c r="A86" s="44">
        <x:v>45801</x:v>
      </x:c>
      <x:c r="B86" t="s">
        <x:v>10</x:v>
      </x:c>
      <x:c r="C86" t="s">
        <x:v>16</x:v>
      </x:c>
      <x:c r="D86">
        <x:v>215.5</x:v>
      </x:c>
      <x:c r="E86">
        <x:v>25.7</x:v>
      </x:c>
      <x:c r="F86">
        <x:v>16</x:v>
      </x:c>
      <x:c r="G86">
        <x:v>12</x:v>
      </x:c>
      <x:c r="H86">
        <x:v>34.2</x:v>
      </x:c>
      <x:c r="I86">
        <x:v>156</x:v>
      </x:c>
      <x:c r="J86" t="s">
        <x:v>15</x:v>
      </x:c>
    </x:row>
    <x:row r="87">
      <x:c r="A87" s="44">
        <x:v>45802</x:v>
      </x:c>
      <x:c r="B87" t="s">
        <x:v>17</x:v>
      </x:c>
      <x:c r="C87" t="s">
        <x:v>14</x:v>
      </x:c>
      <x:c r="D87">
        <x:v>73.90000000000001</x:v>
      </x:c>
      <x:c r="E87">
        <x:v>118.6</x:v>
      </x:c>
      <x:c r="F87">
        <x:v>13</x:v>
      </x:c>
      <x:c r="G87">
        <x:v>8</x:v>
      </x:c>
      <x:c r="H87">
        <x:v>39.5</x:v>
      </x:c>
      <x:c r="I87">
        <x:v>169</x:v>
      </x:c>
      <x:c r="J87" t="s">
        <x:v>12</x:v>
      </x:c>
    </x:row>
    <x:row r="88">
      <x:c r="A88" s="44">
        <x:v>45803</x:v>
      </x:c>
      <x:c r="B88" t="s">
        <x:v>13</x:v>
      </x:c>
      <x:c r="C88" t="s">
        <x:v>16</x:v>
      </x:c>
      <x:c r="D88">
        <x:v>105.8</x:v>
      </x:c>
      <x:c r="E88">
        <x:v>82</x:v>
      </x:c>
      <x:c r="F88">
        <x:v>4</x:v>
      </x:c>
      <x:c r="G88">
        <x:v>47</x:v>
      </x:c>
      <x:c r="H88">
        <x:v>31.4</x:v>
      </x:c>
      <x:c r="I88">
        <x:v>336</x:v>
      </x:c>
      <x:c r="J88" t="s">
        <x:v>12</x:v>
      </x:c>
    </x:row>
    <x:row r="89">
      <x:c r="A89" s="44">
        <x:v>45804</x:v>
      </x:c>
      <x:c r="B89" t="s">
        <x:v>10</x:v>
      </x:c>
      <x:c r="C89" t="s">
        <x:v>14</x:v>
      </x:c>
      <x:c r="D89">
        <x:v>453.8</x:v>
      </x:c>
      <x:c r="E89">
        <x:v>79.3</x:v>
      </x:c>
      <x:c r="F89">
        <x:v>13</x:v>
      </x:c>
      <x:c r="G89">
        <x:v>8</x:v>
      </x:c>
      <x:c r="H89">
        <x:v>29.9</x:v>
      </x:c>
      <x:c r="I89">
        <x:v>261</x:v>
      </x:c>
      <x:c r="J89" t="s">
        <x:v>15</x:v>
      </x:c>
    </x:row>
    <x:row r="90">
      <x:c r="A90" s="44">
        <x:v>45805</x:v>
      </x:c>
      <x:c r="B90" t="s">
        <x:v>13</x:v>
      </x:c>
      <x:c r="C90" t="s">
        <x:v>14</x:v>
      </x:c>
      <x:c r="D90">
        <x:v>87.2</x:v>
      </x:c>
      <x:c r="E90">
        <x:v>22.9</x:v>
      </x:c>
      <x:c r="F90">
        <x:v>10</x:v>
      </x:c>
      <x:c r="G90">
        <x:v>51</x:v>
      </x:c>
      <x:c r="H90">
        <x:v>1.3</x:v>
      </x:c>
      <x:c r="I90">
        <x:v>376</x:v>
      </x:c>
      <x:c r="J90" t="s">
        <x:v>15</x:v>
      </x:c>
    </x:row>
    <x:row r="91">
      <x:c r="A91" s="44">
        <x:v>45806</x:v>
      </x:c>
      <x:c r="B91" t="s">
        <x:v>17</x:v>
      </x:c>
      <x:c r="C91" t="s">
        <x:v>16</x:v>
      </x:c>
      <x:c r="D91">
        <x:v>241.3</x:v>
      </x:c>
      <x:c r="E91">
        <x:v>13.9</x:v>
      </x:c>
      <x:c r="F91">
        <x:v>2</x:v>
      </x:c>
      <x:c r="G91">
        <x:v>10</x:v>
      </x:c>
      <x:c r="H91">
        <x:v>35.7</x:v>
      </x:c>
      <x:c r="I91">
        <x:v>129</x:v>
      </x:c>
      <x:c r="J91" t="s">
        <x:v>12</x:v>
      </x:c>
    </x:row>
    <x:row r="92">
      <x:c r="A92" s="44">
        <x:v>45807</x:v>
      </x:c>
      <x:c r="B92" t="s">
        <x:v>10</x:v>
      </x:c>
      <x:c r="C92" t="s">
        <x:v>11</x:v>
      </x:c>
      <x:c r="D92">
        <x:v>175.9</x:v>
      </x:c>
      <x:c r="E92">
        <x:v>118.3</x:v>
      </x:c>
      <x:c r="F92">
        <x:v>25</x:v>
      </x:c>
      <x:c r="G92">
        <x:v>23</x:v>
      </x:c>
      <x:c r="H92">
        <x:v>38.8</x:v>
      </x:c>
      <x:c r="I92">
        <x:v>398</x:v>
      </x:c>
      <x:c r="J92" t="s">
        <x:v>12</x:v>
      </x:c>
    </x:row>
    <x:row r="93">
      <x:c r="A93" s="44">
        <x:v>45808</x:v>
      </x:c>
      <x:c r="B93" t="s">
        <x:v>17</x:v>
      </x:c>
      <x:c r="C93" t="s">
        <x:v>14</x:v>
      </x:c>
      <x:c r="D93">
        <x:v>151.4</x:v>
      </x:c>
      <x:c r="E93">
        <x:v>31.8</x:v>
      </x:c>
      <x:c r="F93">
        <x:v>5</x:v>
      </x:c>
      <x:c r="G93">
        <x:v>11</x:v>
      </x:c>
      <x:c r="H93">
        <x:v>38.7</x:v>
      </x:c>
      <x:c r="I93">
        <x:v>266</x:v>
      </x:c>
      <x:c r="J93" t="s">
        <x:v>15</x:v>
      </x:c>
    </x:row>
    <x:row r="94">
      <x:c r="A94" s="44">
        <x:v>45809</x:v>
      </x:c>
      <x:c r="B94" t="s">
        <x:v>10</x:v>
      </x:c>
      <x:c r="C94" t="s">
        <x:v>14</x:v>
      </x:c>
      <x:c r="D94">
        <x:v>91</x:v>
      </x:c>
      <x:c r="E94">
        <x:v>38.3</x:v>
      </x:c>
      <x:c r="F94">
        <x:v>23</x:v>
      </x:c>
      <x:c r="G94">
        <x:v>49</x:v>
      </x:c>
      <x:c r="H94">
        <x:v>19</x:v>
      </x:c>
      <x:c r="I94">
        <x:v>455</x:v>
      </x:c>
      <x:c r="J94" t="s">
        <x:v>15</x:v>
      </x:c>
    </x:row>
    <x:row r="95">
      <x:c r="A95" s="44">
        <x:v>45810</x:v>
      </x:c>
      <x:c r="B95" t="s">
        <x:v>17</x:v>
      </x:c>
      <x:c r="C95" t="s">
        <x:v>14</x:v>
      </x:c>
      <x:c r="D95">
        <x:v>50.5</x:v>
      </x:c>
      <x:c r="E95">
        <x:v>40.5</x:v>
      </x:c>
      <x:c r="F95">
        <x:v>13</x:v>
      </x:c>
      <x:c r="G95">
        <x:v>41</x:v>
      </x:c>
      <x:c r="H95">
        <x:v>40.5</x:v>
      </x:c>
      <x:c r="I95">
        <x:v>472</x:v>
      </x:c>
      <x:c r="J95" t="s">
        <x:v>12</x:v>
      </x:c>
    </x:row>
    <x:row r="96">
      <x:c r="A96" s="44">
        <x:v>45811</x:v>
      </x:c>
      <x:c r="B96" t="s">
        <x:v>13</x:v>
      </x:c>
      <x:c r="C96" t="s">
        <x:v>14</x:v>
      </x:c>
      <x:c r="D96">
        <x:v>125.4</x:v>
      </x:c>
      <x:c r="E96">
        <x:v>37.9</x:v>
      </x:c>
      <x:c r="F96">
        <x:v>18</x:v>
      </x:c>
      <x:c r="G96">
        <x:v>31</x:v>
      </x:c>
      <x:c r="H96">
        <x:v>42.8</x:v>
      </x:c>
      <x:c r="I96">
        <x:v>392</x:v>
      </x:c>
      <x:c r="J96" t="s">
        <x:v>15</x:v>
      </x:c>
    </x:row>
    <x:row r="97">
      <x:c r="A97" s="44">
        <x:v>45812</x:v>
      </x:c>
      <x:c r="B97" t="s">
        <x:v>13</x:v>
      </x:c>
      <x:c r="C97" t="s">
        <x:v>11</x:v>
      </x:c>
      <x:c r="D97">
        <x:v>322.3</x:v>
      </x:c>
      <x:c r="E97">
        <x:v>87.90000000000001</x:v>
      </x:c>
      <x:c r="F97">
        <x:v>17</x:v>
      </x:c>
      <x:c r="G97">
        <x:v>10</x:v>
      </x:c>
      <x:c r="H97">
        <x:v>21.3</x:v>
      </x:c>
      <x:c r="I97">
        <x:v>287</x:v>
      </x:c>
      <x:c r="J97" t="s">
        <x:v>12</x:v>
      </x:c>
    </x:row>
    <x:row r="98">
      <x:c r="A98" s="44">
        <x:v>45813</x:v>
      </x:c>
      <x:c r="B98" t="s">
        <x:v>17</x:v>
      </x:c>
      <x:c r="C98" t="s">
        <x:v>11</x:v>
      </x:c>
      <x:c r="D98">
        <x:v>198.2</x:v>
      </x:c>
      <x:c r="E98">
        <x:v>89.90000000000001</x:v>
      </x:c>
      <x:c r="F98">
        <x:v>25</x:v>
      </x:c>
      <x:c r="G98">
        <x:v>25</x:v>
      </x:c>
      <x:c r="H98">
        <x:v>16.9</x:v>
      </x:c>
      <x:c r="I98">
        <x:v>145</x:v>
      </x:c>
      <x:c r="J98" t="s">
        <x:v>15</x:v>
      </x:c>
    </x:row>
    <x:row r="99">
      <x:c r="A99" s="44">
        <x:v>45814</x:v>
      </x:c>
      <x:c r="B99" t="s">
        <x:v>17</x:v>
      </x:c>
      <x:c r="C99" t="s">
        <x:v>11</x:v>
      </x:c>
      <x:c r="D99">
        <x:v>366.4</x:v>
      </x:c>
      <x:c r="E99">
        <x:v>117.2</x:v>
      </x:c>
      <x:c r="F99">
        <x:v>14</x:v>
      </x:c>
      <x:c r="G99">
        <x:v>31</x:v>
      </x:c>
      <x:c r="H99">
        <x:v>19.4</x:v>
      </x:c>
      <x:c r="I99">
        <x:v>403</x:v>
      </x:c>
      <x:c r="J99" t="s">
        <x:v>12</x:v>
      </x:c>
    </x:row>
    <x:row r="100">
      <x:c r="A100" s="44">
        <x:v>45815</x:v>
      </x:c>
      <x:c r="B100" t="s">
        <x:v>13</x:v>
      </x:c>
      <x:c r="C100" t="s">
        <x:v>11</x:v>
      </x:c>
      <x:c r="D100">
        <x:v>254.7</x:v>
      </x:c>
      <x:c r="E100">
        <x:v>19.5</x:v>
      </x:c>
      <x:c r="F100">
        <x:v>15</x:v>
      </x:c>
      <x:c r="G100">
        <x:v>20</x:v>
      </x:c>
      <x:c r="H100">
        <x:v>35.3</x:v>
      </x:c>
      <x:c r="I100">
        <x:v>428</x:v>
      </x:c>
      <x:c r="J100" t="s">
        <x:v>12</x:v>
      </x:c>
    </x:row>
    <x:row r="101">
      <x:c r="A101" s="44">
        <x:v>45816</x:v>
      </x:c>
      <x:c r="B101" t="s">
        <x:v>10</x:v>
      </x:c>
      <x:c r="C101" t="s">
        <x:v>14</x:v>
      </x:c>
      <x:c r="D101">
        <x:v>372.8</x:v>
      </x:c>
      <x:c r="E101">
        <x:v>96.8</x:v>
      </x:c>
      <x:c r="F101">
        <x:v>17</x:v>
      </x:c>
      <x:c r="G101">
        <x:v>11</x:v>
      </x:c>
      <x:c r="H101">
        <x:v>10.7</x:v>
      </x:c>
      <x:c r="I101">
        <x:v>131</x:v>
      </x:c>
      <x:c r="J101" t="s">
        <x:v>12</x:v>
      </x:c>
    </x:row>
    <x:row r="102">
      <x:c r="A102" s="44">
        <x:v>45817</x:v>
      </x:c>
      <x:c r="B102" t="s">
        <x:v>10</x:v>
      </x:c>
      <x:c r="C102" t="s">
        <x:v>14</x:v>
      </x:c>
      <x:c r="D102">
        <x:v>136.4</x:v>
      </x:c>
      <x:c r="E102">
        <x:v>57.3</x:v>
      </x:c>
      <x:c r="F102">
        <x:v>25</x:v>
      </x:c>
      <x:c r="G102">
        <x:v>52</x:v>
      </x:c>
      <x:c r="H102">
        <x:v>21.3</x:v>
      </x:c>
      <x:c r="I102">
        <x:v>178</x:v>
      </x:c>
      <x:c r="J102" t="s">
        <x:v>12</x:v>
      </x:c>
    </x:row>
    <x:row r="103">
      <x:c r="A103" s="44">
        <x:v>45818</x:v>
      </x:c>
      <x:c r="B103" t="s">
        <x:v>13</x:v>
      </x:c>
      <x:c r="C103" t="s">
        <x:v>11</x:v>
      </x:c>
      <x:c r="D103">
        <x:v>152.1</x:v>
      </x:c>
      <x:c r="E103">
        <x:v>43.8</x:v>
      </x:c>
      <x:c r="F103">
        <x:v>19</x:v>
      </x:c>
      <x:c r="G103">
        <x:v>46</x:v>
      </x:c>
      <x:c r="H103">
        <x:v>47.2</x:v>
      </x:c>
      <x:c r="I103">
        <x:v>343</x:v>
      </x:c>
      <x:c r="J103" t="s">
        <x:v>12</x:v>
      </x:c>
    </x:row>
    <x:row r="104">
      <x:c r="A104" s="44">
        <x:v>45819</x:v>
      </x:c>
      <x:c r="B104" t="s">
        <x:v>10</x:v>
      </x:c>
      <x:c r="C104" t="s">
        <x:v>16</x:v>
      </x:c>
      <x:c r="D104">
        <x:v>474.9</x:v>
      </x:c>
      <x:c r="E104">
        <x:v>112.1</x:v>
      </x:c>
      <x:c r="F104">
        <x:v>13</x:v>
      </x:c>
      <x:c r="G104">
        <x:v>16</x:v>
      </x:c>
      <x:c r="H104">
        <x:v>5.8</x:v>
      </x:c>
      <x:c r="I104">
        <x:v>190</x:v>
      </x:c>
      <x:c r="J104" t="s">
        <x:v>12</x:v>
      </x:c>
    </x:row>
    <x:row r="105">
      <x:c r="A105" s="44">
        <x:v>45820</x:v>
      </x:c>
      <x:c r="B105" t="s">
        <x:v>10</x:v>
      </x:c>
      <x:c r="C105" t="s">
        <x:v>11</x:v>
      </x:c>
      <x:c r="D105">
        <x:v>460.2</x:v>
      </x:c>
      <x:c r="E105">
        <x:v>52.9</x:v>
      </x:c>
      <x:c r="F105">
        <x:v>8</x:v>
      </x:c>
      <x:c r="G105">
        <x:v>48</x:v>
      </x:c>
      <x:c r="H105">
        <x:v>24.8</x:v>
      </x:c>
      <x:c r="I105">
        <x:v>204</x:v>
      </x:c>
      <x:c r="J105" t="s">
        <x:v>12</x:v>
      </x:c>
    </x:row>
    <x:row r="106">
      <x:c r="A106" s="44">
        <x:v>45821</x:v>
      </x:c>
      <x:c r="B106" t="s">
        <x:v>10</x:v>
      </x:c>
      <x:c r="C106" t="s">
        <x:v>14</x:v>
      </x:c>
      <x:c r="D106">
        <x:v>307.6</x:v>
      </x:c>
      <x:c r="E106">
        <x:v>26.2</x:v>
      </x:c>
      <x:c r="F106">
        <x:v>13</x:v>
      </x:c>
      <x:c r="G106">
        <x:v>59</x:v>
      </x:c>
      <x:c r="H106">
        <x:v>3.1</x:v>
      </x:c>
      <x:c r="I106">
        <x:v>215</x:v>
      </x:c>
      <x:c r="J106" t="s">
        <x:v>12</x:v>
      </x:c>
    </x:row>
    <x:row r="107">
      <x:c r="A107" s="44">
        <x:v>45822</x:v>
      </x:c>
      <x:c r="B107" t="s">
        <x:v>17</x:v>
      </x:c>
      <x:c r="C107" t="s">
        <x:v>16</x:v>
      </x:c>
      <x:c r="D107">
        <x:v>490.5</x:v>
      </x:c>
      <x:c r="E107">
        <x:v>38.9</x:v>
      </x:c>
      <x:c r="F107">
        <x:v>13</x:v>
      </x:c>
      <x:c r="G107">
        <x:v>22</x:v>
      </x:c>
      <x:c r="H107">
        <x:v>24.9</x:v>
      </x:c>
      <x:c r="I107">
        <x:v>374</x:v>
      </x:c>
      <x:c r="J107" t="s">
        <x:v>15</x:v>
      </x:c>
    </x:row>
    <x:row r="108">
      <x:c r="A108" s="44">
        <x:v>45823</x:v>
      </x:c>
      <x:c r="B108" t="s">
        <x:v>13</x:v>
      </x:c>
      <x:c r="C108" t="s">
        <x:v>11</x:v>
      </x:c>
      <x:c r="D108">
        <x:v>439.7</x:v>
      </x:c>
      <x:c r="E108">
        <x:v>109.5</x:v>
      </x:c>
      <x:c r="F108">
        <x:v>7</x:v>
      </x:c>
      <x:c r="G108">
        <x:v>33</x:v>
      </x:c>
      <x:c r="H108">
        <x:v>4</x:v>
      </x:c>
      <x:c r="I108">
        <x:v>102</x:v>
      </x:c>
      <x:c r="J108" t="s">
        <x:v>12</x:v>
      </x:c>
    </x:row>
    <x:row r="109">
      <x:c r="A109" s="44">
        <x:v>45824</x:v>
      </x:c>
      <x:c r="B109" t="s">
        <x:v>17</x:v>
      </x:c>
      <x:c r="C109" t="s">
        <x:v>16</x:v>
      </x:c>
      <x:c r="D109">
        <x:v>444.3</x:v>
      </x:c>
      <x:c r="E109">
        <x:v>104.6</x:v>
      </x:c>
      <x:c r="F109">
        <x:v>6</x:v>
      </x:c>
      <x:c r="G109">
        <x:v>32</x:v>
      </x:c>
      <x:c r="H109">
        <x:v>3</x:v>
      </x:c>
      <x:c r="I109">
        <x:v>480</x:v>
      </x:c>
      <x:c r="J109" t="s">
        <x:v>15</x:v>
      </x:c>
    </x:row>
    <x:row r="110">
      <x:c r="A110" s="44">
        <x:v>45825</x:v>
      </x:c>
      <x:c r="B110" t="s">
        <x:v>17</x:v>
      </x:c>
      <x:c r="C110" t="s">
        <x:v>14</x:v>
      </x:c>
      <x:c r="D110">
        <x:v>287.2</x:v>
      </x:c>
      <x:c r="E110">
        <x:v>81.59999999999999</x:v>
      </x:c>
      <x:c r="F110">
        <x:v>19</x:v>
      </x:c>
      <x:c r="G110">
        <x:v>42</x:v>
      </x:c>
      <x:c r="H110">
        <x:v>24.8</x:v>
      </x:c>
      <x:c r="I110">
        <x:v>442</x:v>
      </x:c>
      <x:c r="J110" t="s">
        <x:v>12</x:v>
      </x:c>
    </x:row>
    <x:row r="111">
      <x:c r="A111" s="44">
        <x:v>45826</x:v>
      </x:c>
      <x:c r="B111" t="s">
        <x:v>17</x:v>
      </x:c>
      <x:c r="C111" t="s">
        <x:v>14</x:v>
      </x:c>
      <x:c r="D111">
        <x:v>102.4</x:v>
      </x:c>
      <x:c r="E111">
        <x:v>114.5</x:v>
      </x:c>
      <x:c r="F111">
        <x:v>17</x:v>
      </x:c>
      <x:c r="G111">
        <x:v>23</x:v>
      </x:c>
      <x:c r="H111">
        <x:v>43.1</x:v>
      </x:c>
      <x:c r="I111">
        <x:v>375</x:v>
      </x:c>
      <x:c r="J111" t="s">
        <x:v>15</x:v>
      </x:c>
    </x:row>
    <x:row r="112">
      <x:c r="A112" s="44">
        <x:v>45827</x:v>
      </x:c>
      <x:c r="B112" t="s">
        <x:v>10</x:v>
      </x:c>
      <x:c r="C112" t="s">
        <x:v>14</x:v>
      </x:c>
      <x:c r="D112">
        <x:v>332.6</x:v>
      </x:c>
      <x:c r="E112">
        <x:v>37.8</x:v>
      </x:c>
      <x:c r="F112">
        <x:v>21</x:v>
      </x:c>
      <x:c r="G112">
        <x:v>51</x:v>
      </x:c>
      <x:c r="H112">
        <x:v>35.8</x:v>
      </x:c>
      <x:c r="I112">
        <x:v>463</x:v>
      </x:c>
      <x:c r="J112" t="s">
        <x:v>15</x:v>
      </x:c>
    </x:row>
    <x:row r="113">
      <x:c r="A113" s="44">
        <x:v>45828</x:v>
      </x:c>
      <x:c r="B113" t="s">
        <x:v>10</x:v>
      </x:c>
      <x:c r="C113" t="s">
        <x:v>11</x:v>
      </x:c>
      <x:c r="D113">
        <x:v>483.6</x:v>
      </x:c>
      <x:c r="E113">
        <x:v>82.40000000000001</x:v>
      </x:c>
      <x:c r="F113">
        <x:v>19</x:v>
      </x:c>
      <x:c r="G113">
        <x:v>54</x:v>
      </x:c>
      <x:c r="H113">
        <x:v>40.4</x:v>
      </x:c>
      <x:c r="I113">
        <x:v>452</x:v>
      </x:c>
      <x:c r="J113" t="s">
        <x:v>12</x:v>
      </x:c>
    </x:row>
    <x:row r="114">
      <x:c r="A114" s="44">
        <x:v>45829</x:v>
      </x:c>
      <x:c r="B114" t="s">
        <x:v>10</x:v>
      </x:c>
      <x:c r="C114" t="s">
        <x:v>14</x:v>
      </x:c>
      <x:c r="D114">
        <x:v>248.1</x:v>
      </x:c>
      <x:c r="E114">
        <x:v>114.5</x:v>
      </x:c>
      <x:c r="F114">
        <x:v>8</x:v>
      </x:c>
      <x:c r="G114">
        <x:v>16</x:v>
      </x:c>
      <x:c r="H114">
        <x:v>2.4</x:v>
      </x:c>
      <x:c r="I114">
        <x:v>48</x:v>
      </x:c>
      <x:c r="J114" t="s">
        <x:v>12</x:v>
      </x:c>
    </x:row>
    <x:row r="115">
      <x:c r="A115" s="44">
        <x:v>45830</x:v>
      </x:c>
      <x:c r="B115" t="s">
        <x:v>17</x:v>
      </x:c>
      <x:c r="C115" t="s">
        <x:v>14</x:v>
      </x:c>
      <x:c r="D115">
        <x:v>287.7</x:v>
      </x:c>
      <x:c r="E115">
        <x:v>37</x:v>
      </x:c>
      <x:c r="F115">
        <x:v>14</x:v>
      </x:c>
      <x:c r="G115">
        <x:v>14</x:v>
      </x:c>
      <x:c r="H115">
        <x:v>19.9</x:v>
      </x:c>
      <x:c r="I115">
        <x:v>10</x:v>
      </x:c>
      <x:c r="J115" t="s">
        <x:v>15</x:v>
      </x:c>
    </x:row>
    <x:row r="116">
      <x:c r="A116" s="44">
        <x:v>45831</x:v>
      </x:c>
      <x:c r="B116" t="s">
        <x:v>10</x:v>
      </x:c>
      <x:c r="C116" t="s">
        <x:v>16</x:v>
      </x:c>
      <x:c r="D116">
        <x:v>96.59999999999999</x:v>
      </x:c>
      <x:c r="E116">
        <x:v>26.2</x:v>
      </x:c>
      <x:c r="F116">
        <x:v>10</x:v>
      </x:c>
      <x:c r="G116">
        <x:v>6</x:v>
      </x:c>
      <x:c r="H116">
        <x:v>39.2</x:v>
      </x:c>
      <x:c r="I116">
        <x:v>325</x:v>
      </x:c>
      <x:c r="J116" t="s">
        <x:v>12</x:v>
      </x:c>
    </x:row>
    <x:row r="117">
      <x:c r="A117" s="44">
        <x:v>45832</x:v>
      </x:c>
      <x:c r="B117" t="s">
        <x:v>10</x:v>
      </x:c>
      <x:c r="C117" t="s">
        <x:v>11</x:v>
      </x:c>
      <x:c r="D117">
        <x:v>198.9</x:v>
      </x:c>
      <x:c r="E117">
        <x:v>117.1</x:v>
      </x:c>
      <x:c r="F117">
        <x:v>23</x:v>
      </x:c>
      <x:c r="G117">
        <x:v>23</x:v>
      </x:c>
      <x:c r="H117">
        <x:v>11.3</x:v>
      </x:c>
      <x:c r="I117">
        <x:v>260</x:v>
      </x:c>
      <x:c r="J117" t="s">
        <x:v>15</x:v>
      </x:c>
    </x:row>
    <x:row r="118">
      <x:c r="A118" s="44">
        <x:v>45833</x:v>
      </x:c>
      <x:c r="B118" t="s">
        <x:v>10</x:v>
      </x:c>
      <x:c r="C118" t="s">
        <x:v>14</x:v>
      </x:c>
      <x:c r="D118">
        <x:v>113.8</x:v>
      </x:c>
      <x:c r="E118">
        <x:v>117.6</x:v>
      </x:c>
      <x:c r="F118">
        <x:v>22</x:v>
      </x:c>
      <x:c r="G118">
        <x:v>37</x:v>
      </x:c>
      <x:c r="H118">
        <x:v>10.6</x:v>
      </x:c>
      <x:c r="I118">
        <x:v>326</x:v>
      </x:c>
      <x:c r="J118" t="s">
        <x:v>15</x:v>
      </x:c>
    </x:row>
    <x:row r="119">
      <x:c r="A119" s="44">
        <x:v>45834</x:v>
      </x:c>
      <x:c r="B119" t="s">
        <x:v>10</x:v>
      </x:c>
      <x:c r="C119" t="s">
        <x:v>11</x:v>
      </x:c>
      <x:c r="D119">
        <x:v>457.5</x:v>
      </x:c>
      <x:c r="E119">
        <x:v>35.6</x:v>
      </x:c>
      <x:c r="F119">
        <x:v>28</x:v>
      </x:c>
      <x:c r="G119">
        <x:v>39</x:v>
      </x:c>
      <x:c r="H119">
        <x:v>34.4</x:v>
      </x:c>
      <x:c r="I119">
        <x:v>493</x:v>
      </x:c>
      <x:c r="J119" t="s">
        <x:v>12</x:v>
      </x:c>
    </x:row>
    <x:row r="120">
      <x:c r="A120" s="44">
        <x:v>45835</x:v>
      </x:c>
      <x:c r="B120" t="s">
        <x:v>10</x:v>
      </x:c>
      <x:c r="C120" t="s">
        <x:v>16</x:v>
      </x:c>
      <x:c r="D120">
        <x:v>497.9</x:v>
      </x:c>
      <x:c r="E120">
        <x:v>58.4</x:v>
      </x:c>
      <x:c r="F120">
        <x:v>10</x:v>
      </x:c>
      <x:c r="G120">
        <x:v>25</x:v>
      </x:c>
      <x:c r="H120">
        <x:v>39.9</x:v>
      </x:c>
      <x:c r="I120">
        <x:v>115</x:v>
      </x:c>
      <x:c r="J120" t="s">
        <x:v>12</x:v>
      </x:c>
    </x:row>
    <x:row r="121">
      <x:c r="A121" s="44">
        <x:v>45836</x:v>
      </x:c>
      <x:c r="B121" t="s">
        <x:v>10</x:v>
      </x:c>
      <x:c r="C121" t="s">
        <x:v>14</x:v>
      </x:c>
      <x:c r="D121">
        <x:v>452.3</x:v>
      </x:c>
      <x:c r="E121">
        <x:v>77.09999999999999</x:v>
      </x:c>
      <x:c r="F121">
        <x:v>2</x:v>
      </x:c>
      <x:c r="G121">
        <x:v>55</x:v>
      </x:c>
      <x:c r="H121">
        <x:v>8.199999999999999</x:v>
      </x:c>
      <x:c r="I121">
        <x:v>219</x:v>
      </x:c>
      <x:c r="J121" t="s">
        <x:v>12</x:v>
      </x:c>
    </x:row>
    <x:row r="122">
      <x:c r="A122" s="44">
        <x:v>45837</x:v>
      </x:c>
      <x:c r="B122" t="s">
        <x:v>17</x:v>
      </x:c>
      <x:c r="C122" t="s">
        <x:v>14</x:v>
      </x:c>
      <x:c r="D122">
        <x:v>363.7</x:v>
      </x:c>
      <x:c r="E122">
        <x:v>86.09999999999999</x:v>
      </x:c>
      <x:c r="F122">
        <x:v>5</x:v>
      </x:c>
      <x:c r="G122">
        <x:v>51</x:v>
      </x:c>
      <x:c r="H122">
        <x:v>43</x:v>
      </x:c>
      <x:c r="I122">
        <x:v>291</x:v>
      </x:c>
      <x:c r="J122" t="s">
        <x:v>15</x:v>
      </x:c>
    </x:row>
    <x:row r="123">
      <x:c r="A123" s="44">
        <x:v>45838</x:v>
      </x:c>
      <x:c r="B123" t="s">
        <x:v>10</x:v>
      </x:c>
      <x:c r="C123" t="s">
        <x:v>16</x:v>
      </x:c>
      <x:c r="D123">
        <x:v>293.6</x:v>
      </x:c>
      <x:c r="E123">
        <x:v>89.40000000000001</x:v>
      </x:c>
      <x:c r="F123">
        <x:v>5</x:v>
      </x:c>
      <x:c r="G123">
        <x:v>32</x:v>
      </x:c>
      <x:c r="H123">
        <x:v>26</x:v>
      </x:c>
      <x:c r="I123">
        <x:v>43</x:v>
      </x:c>
      <x:c r="J123" t="s">
        <x:v>15</x:v>
      </x:c>
    </x:row>
    <x:row r="124">
      <x:c r="A124" s="44">
        <x:v>45839</x:v>
      </x:c>
      <x:c r="B124" t="s">
        <x:v>10</x:v>
      </x:c>
      <x:c r="C124" t="s">
        <x:v>14</x:v>
      </x:c>
      <x:c r="D124">
        <x:v>217.4</x:v>
      </x:c>
      <x:c r="E124">
        <x:v>61.8</x:v>
      </x:c>
      <x:c r="F124">
        <x:v>3</x:v>
      </x:c>
      <x:c r="G124">
        <x:v>49</x:v>
      </x:c>
      <x:c r="H124">
        <x:v>39.1</x:v>
      </x:c>
      <x:c r="I124">
        <x:v>140</x:v>
      </x:c>
      <x:c r="J124" t="s">
        <x:v>12</x:v>
      </x:c>
    </x:row>
    <x:row r="125">
      <x:c r="A125" s="44">
        <x:v>45840</x:v>
      </x:c>
      <x:c r="B125" t="s">
        <x:v>13</x:v>
      </x:c>
      <x:c r="C125" t="s">
        <x:v>16</x:v>
      </x:c>
      <x:c r="D125">
        <x:v>182</x:v>
      </x:c>
      <x:c r="E125">
        <x:v>17.1</x:v>
      </x:c>
      <x:c r="F125">
        <x:v>8</x:v>
      </x:c>
      <x:c r="G125">
        <x:v>37</x:v>
      </x:c>
      <x:c r="H125">
        <x:v>26.6</x:v>
      </x:c>
      <x:c r="I125">
        <x:v>311</x:v>
      </x:c>
      <x:c r="J125" t="s">
        <x:v>15</x:v>
      </x:c>
    </x:row>
    <x:row r="126">
      <x:c r="A126" s="44">
        <x:v>45841</x:v>
      </x:c>
      <x:c r="B126" t="s">
        <x:v>17</x:v>
      </x:c>
      <x:c r="C126" t="s">
        <x:v>11</x:v>
      </x:c>
      <x:c r="D126">
        <x:v>389.5</x:v>
      </x:c>
      <x:c r="E126">
        <x:v>118.2</x:v>
      </x:c>
      <x:c r="F126">
        <x:v>16</x:v>
      </x:c>
      <x:c r="G126">
        <x:v>23</x:v>
      </x:c>
      <x:c r="H126">
        <x:v>37.5</x:v>
      </x:c>
      <x:c r="I126">
        <x:v>83</x:v>
      </x:c>
      <x:c r="J126" t="s">
        <x:v>15</x:v>
      </x:c>
    </x:row>
    <x:row r="127">
      <x:c r="A127" s="44">
        <x:v>45842</x:v>
      </x:c>
      <x:c r="B127" t="s">
        <x:v>10</x:v>
      </x:c>
      <x:c r="C127" t="s">
        <x:v>14</x:v>
      </x:c>
      <x:c r="D127">
        <x:v>65.59999999999999</x:v>
      </x:c>
      <x:c r="E127">
        <x:v>79.59999999999999</x:v>
      </x:c>
      <x:c r="F127">
        <x:v>1</x:v>
      </x:c>
      <x:c r="G127">
        <x:v>26</x:v>
      </x:c>
      <x:c r="H127">
        <x:v>9.699999999999999</x:v>
      </x:c>
      <x:c r="I127">
        <x:v>488</x:v>
      </x:c>
      <x:c r="J127" t="s">
        <x:v>15</x:v>
      </x:c>
    </x:row>
    <x:row r="128">
      <x:c r="A128" s="44">
        <x:v>45843</x:v>
      </x:c>
      <x:c r="B128" t="s">
        <x:v>10</x:v>
      </x:c>
      <x:c r="C128" t="s">
        <x:v>11</x:v>
      </x:c>
      <x:c r="D128">
        <x:v>446.3</x:v>
      </x:c>
      <x:c r="E128">
        <x:v>102.5</x:v>
      </x:c>
      <x:c r="F128">
        <x:v>17</x:v>
      </x:c>
      <x:c r="G128">
        <x:v>31</x:v>
      </x:c>
      <x:c r="H128">
        <x:v>8.300000000000001</x:v>
      </x:c>
      <x:c r="I128">
        <x:v>274</x:v>
      </x:c>
      <x:c r="J128" t="s">
        <x:v>12</x:v>
      </x:c>
    </x:row>
    <x:row r="129">
      <x:c r="A129" s="44">
        <x:v>45844</x:v>
      </x:c>
      <x:c r="B129" t="s">
        <x:v>10</x:v>
      </x:c>
      <x:c r="C129" t="s">
        <x:v>11</x:v>
      </x:c>
      <x:c r="D129">
        <x:v>220.8</x:v>
      </x:c>
      <x:c r="E129">
        <x:v>38.2</x:v>
      </x:c>
      <x:c r="F129">
        <x:v>3</x:v>
      </x:c>
      <x:c r="G129">
        <x:v>21</x:v>
      </x:c>
      <x:c r="H129">
        <x:v>43</x:v>
      </x:c>
      <x:c r="I129">
        <x:v>344</x:v>
      </x:c>
      <x:c r="J129" t="s">
        <x:v>15</x:v>
      </x:c>
    </x:row>
    <x:row r="130">
      <x:c r="A130" s="44">
        <x:v>45845</x:v>
      </x:c>
      <x:c r="B130" t="s">
        <x:v>10</x:v>
      </x:c>
      <x:c r="C130" t="s">
        <x:v>16</x:v>
      </x:c>
      <x:c r="D130">
        <x:v>184.9</x:v>
      </x:c>
      <x:c r="E130">
        <x:v>66.7</x:v>
      </x:c>
      <x:c r="F130">
        <x:v>24</x:v>
      </x:c>
      <x:c r="G130">
        <x:v>16</x:v>
      </x:c>
      <x:c r="H130">
        <x:v>6.3</x:v>
      </x:c>
      <x:c r="I130">
        <x:v>478</x:v>
      </x:c>
      <x:c r="J130" t="s">
        <x:v>12</x:v>
      </x:c>
    </x:row>
    <x:row r="131">
      <x:c r="A131" s="44">
        <x:v>45846</x:v>
      </x:c>
      <x:c r="B131" t="s">
        <x:v>10</x:v>
      </x:c>
      <x:c r="C131" t="s">
        <x:v>11</x:v>
      </x:c>
      <x:c r="D131">
        <x:v>396.8</x:v>
      </x:c>
      <x:c r="E131">
        <x:v>108.2</x:v>
      </x:c>
      <x:c r="F131">
        <x:v>10</x:v>
      </x:c>
      <x:c r="G131">
        <x:v>29</x:v>
      </x:c>
      <x:c r="H131">
        <x:v>18.9</x:v>
      </x:c>
      <x:c r="I131">
        <x:v>251</x:v>
      </x:c>
      <x:c r="J131" t="s">
        <x:v>15</x:v>
      </x:c>
    </x:row>
    <x:row r="132">
      <x:c r="A132" s="44">
        <x:v>45847</x:v>
      </x:c>
      <x:c r="B132" t="s">
        <x:v>13</x:v>
      </x:c>
      <x:c r="C132" t="s">
        <x:v>14</x:v>
      </x:c>
      <x:c r="D132">
        <x:v>257.7</x:v>
      </x:c>
      <x:c r="E132">
        <x:v>21</x:v>
      </x:c>
      <x:c r="F132">
        <x:v>22</x:v>
      </x:c>
      <x:c r="G132">
        <x:v>57</x:v>
      </x:c>
      <x:c r="H132">
        <x:v>24.2</x:v>
      </x:c>
      <x:c r="I132">
        <x:v>482</x:v>
      </x:c>
      <x:c r="J132" t="s">
        <x:v>15</x:v>
      </x:c>
    </x:row>
    <x:row r="133">
      <x:c r="A133" s="44">
        <x:v>45848</x:v>
      </x:c>
      <x:c r="B133" t="s">
        <x:v>17</x:v>
      </x:c>
      <x:c r="C133" t="s">
        <x:v>16</x:v>
      </x:c>
      <x:c r="D133">
        <x:v>463.1</x:v>
      </x:c>
      <x:c r="E133">
        <x:v>27.8</x:v>
      </x:c>
      <x:c r="F133">
        <x:v>4</x:v>
      </x:c>
      <x:c r="G133">
        <x:v>48</x:v>
      </x:c>
      <x:c r="H133">
        <x:v>21.7</x:v>
      </x:c>
      <x:c r="I133">
        <x:v>169</x:v>
      </x:c>
      <x:c r="J133" t="s">
        <x:v>12</x:v>
      </x:c>
    </x:row>
    <x:row r="134">
      <x:c r="A134" s="44">
        <x:v>45849</x:v>
      </x:c>
      <x:c r="B134" t="s">
        <x:v>17</x:v>
      </x:c>
      <x:c r="C134" t="s">
        <x:v>11</x:v>
      </x:c>
      <x:c r="D134">
        <x:v>287.9</x:v>
      </x:c>
      <x:c r="E134">
        <x:v>36</x:v>
      </x:c>
      <x:c r="F134">
        <x:v>2</x:v>
      </x:c>
      <x:c r="G134">
        <x:v>41</x:v>
      </x:c>
      <x:c r="H134">
        <x:v>47</x:v>
      </x:c>
      <x:c r="I134">
        <x:v>305</x:v>
      </x:c>
      <x:c r="J134" t="s">
        <x:v>12</x:v>
      </x:c>
    </x:row>
    <x:row r="135">
      <x:c r="A135" s="44">
        <x:v>45850</x:v>
      </x:c>
      <x:c r="B135" t="s">
        <x:v>17</x:v>
      </x:c>
      <x:c r="C135" t="s">
        <x:v>16</x:v>
      </x:c>
      <x:c r="D135">
        <x:v>448.4</x:v>
      </x:c>
      <x:c r="E135">
        <x:v>11.2</x:v>
      </x:c>
      <x:c r="F135">
        <x:v>23</x:v>
      </x:c>
      <x:c r="G135">
        <x:v>57</x:v>
      </x:c>
      <x:c r="H135">
        <x:v>26</x:v>
      </x:c>
      <x:c r="I135">
        <x:v>404</x:v>
      </x:c>
      <x:c r="J135" t="s">
        <x:v>12</x:v>
      </x:c>
    </x:row>
    <x:row r="136">
      <x:c r="A136" s="44">
        <x:v>45851</x:v>
      </x:c>
      <x:c r="B136" t="s">
        <x:v>13</x:v>
      </x:c>
      <x:c r="C136" t="s">
        <x:v>14</x:v>
      </x:c>
      <x:c r="D136">
        <x:v>282.9</x:v>
      </x:c>
      <x:c r="E136">
        <x:v>19.9</x:v>
      </x:c>
      <x:c r="F136">
        <x:v>11</x:v>
      </x:c>
      <x:c r="G136">
        <x:v>9</x:v>
      </x:c>
      <x:c r="H136">
        <x:v>45</x:v>
      </x:c>
      <x:c r="I136">
        <x:v>447</x:v>
      </x:c>
      <x:c r="J136" t="s">
        <x:v>15</x:v>
      </x:c>
    </x:row>
    <x:row r="137">
      <x:c r="A137" s="44">
        <x:v>45852</x:v>
      </x:c>
      <x:c r="B137" t="s">
        <x:v>13</x:v>
      </x:c>
      <x:c r="C137" t="s">
        <x:v>16</x:v>
      </x:c>
      <x:c r="D137">
        <x:v>483.5</x:v>
      </x:c>
      <x:c r="E137">
        <x:v>83.5</x:v>
      </x:c>
      <x:c r="F137">
        <x:v>19</x:v>
      </x:c>
      <x:c r="G137">
        <x:v>31</x:v>
      </x:c>
      <x:c r="H137">
        <x:v>9.199999999999999</x:v>
      </x:c>
      <x:c r="I137">
        <x:v>282</x:v>
      </x:c>
      <x:c r="J137" t="s">
        <x:v>15</x:v>
      </x:c>
    </x:row>
    <x:row r="138">
      <x:c r="A138" s="44">
        <x:v>45853</x:v>
      </x:c>
      <x:c r="B138" t="s">
        <x:v>10</x:v>
      </x:c>
      <x:c r="C138" t="s">
        <x:v>16</x:v>
      </x:c>
      <x:c r="D138">
        <x:v>165.8</x:v>
      </x:c>
      <x:c r="E138">
        <x:v>117.1</x:v>
      </x:c>
      <x:c r="F138">
        <x:v>6</x:v>
      </x:c>
      <x:c r="G138">
        <x:v>11</x:v>
      </x:c>
      <x:c r="H138">
        <x:v>29</x:v>
      </x:c>
      <x:c r="I138">
        <x:v>454</x:v>
      </x:c>
      <x:c r="J138" t="s">
        <x:v>15</x:v>
      </x:c>
    </x:row>
    <x:row r="139">
      <x:c r="A139" s="44">
        <x:v>45854</x:v>
      </x:c>
      <x:c r="B139" t="s">
        <x:v>10</x:v>
      </x:c>
      <x:c r="C139" t="s">
        <x:v>14</x:v>
      </x:c>
      <x:c r="D139">
        <x:v>172.6</x:v>
      </x:c>
      <x:c r="E139">
        <x:v>89.8</x:v>
      </x:c>
      <x:c r="F139">
        <x:v>11</x:v>
      </x:c>
      <x:c r="G139">
        <x:v>34</x:v>
      </x:c>
      <x:c r="H139">
        <x:v>40.5</x:v>
      </x:c>
      <x:c r="I139">
        <x:v>365</x:v>
      </x:c>
      <x:c r="J139" t="s">
        <x:v>12</x:v>
      </x:c>
    </x:row>
    <x:row r="140">
      <x:c r="A140" s="44">
        <x:v>45855</x:v>
      </x:c>
      <x:c r="B140" t="s">
        <x:v>10</x:v>
      </x:c>
      <x:c r="C140" t="s">
        <x:v>11</x:v>
      </x:c>
      <x:c r="D140">
        <x:v>496.9</x:v>
      </x:c>
      <x:c r="E140">
        <x:v>103.8</x:v>
      </x:c>
      <x:c r="F140">
        <x:v>20</x:v>
      </x:c>
      <x:c r="G140">
        <x:v>25</x:v>
      </x:c>
      <x:c r="H140">
        <x:v>6.9</x:v>
      </x:c>
      <x:c r="I140">
        <x:v>281</x:v>
      </x:c>
      <x:c r="J140" t="s">
        <x:v>15</x:v>
      </x:c>
    </x:row>
    <x:row r="141">
      <x:c r="A141" s="44">
        <x:v>45856</x:v>
      </x:c>
      <x:c r="B141" t="s">
        <x:v>13</x:v>
      </x:c>
      <x:c r="C141" t="s">
        <x:v>11</x:v>
      </x:c>
      <x:c r="D141">
        <x:v>428.7</x:v>
      </x:c>
      <x:c r="E141">
        <x:v>11.3</x:v>
      </x:c>
      <x:c r="F141">
        <x:v>5</x:v>
      </x:c>
      <x:c r="G141">
        <x:v>13</x:v>
      </x:c>
      <x:c r="H141">
        <x:v>18.8</x:v>
      </x:c>
      <x:c r="I141">
        <x:v>43</x:v>
      </x:c>
      <x:c r="J141" t="s">
        <x:v>15</x:v>
      </x:c>
    </x:row>
    <x:row r="142">
      <x:c r="A142" s="44">
        <x:v>45857</x:v>
      </x:c>
      <x:c r="B142" t="s">
        <x:v>13</x:v>
      </x:c>
      <x:c r="C142" t="s">
        <x:v>16</x:v>
      </x:c>
      <x:c r="D142">
        <x:v>121.8</x:v>
      </x:c>
      <x:c r="E142">
        <x:v>93.40000000000001</x:v>
      </x:c>
      <x:c r="F142">
        <x:v>22</x:v>
      </x:c>
      <x:c r="G142">
        <x:v>45</x:v>
      </x:c>
      <x:c r="H142">
        <x:v>35.1</x:v>
      </x:c>
      <x:c r="I142">
        <x:v>114</x:v>
      </x:c>
      <x:c r="J142" t="s">
        <x:v>12</x:v>
      </x:c>
    </x:row>
    <x:row r="143">
      <x:c r="A143" s="44">
        <x:v>45858</x:v>
      </x:c>
      <x:c r="B143" t="s">
        <x:v>10</x:v>
      </x:c>
      <x:c r="C143" t="s">
        <x:v>14</x:v>
      </x:c>
      <x:c r="D143">
        <x:v>381.8</x:v>
      </x:c>
      <x:c r="E143">
        <x:v>95.8</x:v>
      </x:c>
      <x:c r="F143">
        <x:v>3</x:v>
      </x:c>
      <x:c r="G143">
        <x:v>27</x:v>
      </x:c>
      <x:c r="H143">
        <x:v>5.6</x:v>
      </x:c>
      <x:c r="I143">
        <x:v>23</x:v>
      </x:c>
      <x:c r="J143" t="s">
        <x:v>12</x:v>
      </x:c>
    </x:row>
    <x:row r="144">
      <x:c r="A144" s="44">
        <x:v>45859</x:v>
      </x:c>
      <x:c r="B144" t="s">
        <x:v>10</x:v>
      </x:c>
      <x:c r="C144" t="s">
        <x:v>14</x:v>
      </x:c>
      <x:c r="D144">
        <x:v>238.2</x:v>
      </x:c>
      <x:c r="E144">
        <x:v>21.6</x:v>
      </x:c>
      <x:c r="F144">
        <x:v>6</x:v>
      </x:c>
      <x:c r="G144">
        <x:v>46</x:v>
      </x:c>
      <x:c r="H144">
        <x:v>19.9</x:v>
      </x:c>
      <x:c r="I144">
        <x:v>430</x:v>
      </x:c>
      <x:c r="J144" t="s">
        <x:v>12</x:v>
      </x:c>
    </x:row>
    <x:row r="145">
      <x:c r="A145" s="44">
        <x:v>45860</x:v>
      </x:c>
      <x:c r="B145" t="s">
        <x:v>10</x:v>
      </x:c>
      <x:c r="C145" t="s">
        <x:v>14</x:v>
      </x:c>
      <x:c r="D145">
        <x:v>104.7</x:v>
      </x:c>
      <x:c r="E145">
        <x:v>57.1</x:v>
      </x:c>
      <x:c r="F145">
        <x:v>21</x:v>
      </x:c>
      <x:c r="G145">
        <x:v>55</x:v>
      </x:c>
      <x:c r="H145">
        <x:v>18.5</x:v>
      </x:c>
      <x:c r="I145">
        <x:v>197</x:v>
      </x:c>
      <x:c r="J145" t="s">
        <x:v>12</x:v>
      </x:c>
    </x:row>
    <x:row r="146">
      <x:c r="A146" s="44">
        <x:v>45861</x:v>
      </x:c>
      <x:c r="B146" t="s">
        <x:v>13</x:v>
      </x:c>
      <x:c r="C146" t="s">
        <x:v>16</x:v>
      </x:c>
      <x:c r="D146">
        <x:v>381.9</x:v>
      </x:c>
      <x:c r="E146">
        <x:v>43.7</x:v>
      </x:c>
      <x:c r="F146">
        <x:v>3</x:v>
      </x:c>
      <x:c r="G146">
        <x:v>19</x:v>
      </x:c>
      <x:c r="H146">
        <x:v>39.1</x:v>
      </x:c>
      <x:c r="I146">
        <x:v>97</x:v>
      </x:c>
      <x:c r="J146" t="s">
        <x:v>15</x:v>
      </x:c>
    </x:row>
    <x:row r="147">
      <x:c r="A147" s="44">
        <x:v>45862</x:v>
      </x:c>
      <x:c r="B147" t="s">
        <x:v>17</x:v>
      </x:c>
      <x:c r="C147" t="s">
        <x:v>14</x:v>
      </x:c>
      <x:c r="D147">
        <x:v>496.1</x:v>
      </x:c>
      <x:c r="E147">
        <x:v>91.7</x:v>
      </x:c>
      <x:c r="F147">
        <x:v>25</x:v>
      </x:c>
      <x:c r="G147">
        <x:v>25</x:v>
      </x:c>
      <x:c r="H147">
        <x:v>23.2</x:v>
      </x:c>
      <x:c r="I147">
        <x:v>27</x:v>
      </x:c>
      <x:c r="J147" t="s">
        <x:v>12</x:v>
      </x:c>
    </x:row>
    <x:row r="148">
      <x:c r="A148" s="44">
        <x:v>45863</x:v>
      </x:c>
      <x:c r="B148" t="s">
        <x:v>10</x:v>
      </x:c>
      <x:c r="C148" t="s">
        <x:v>11</x:v>
      </x:c>
      <x:c r="D148">
        <x:v>430</x:v>
      </x:c>
      <x:c r="E148">
        <x:v>26.6</x:v>
      </x:c>
      <x:c r="F148">
        <x:v>10</x:v>
      </x:c>
      <x:c r="G148">
        <x:v>7</x:v>
      </x:c>
      <x:c r="H148">
        <x:v>44.9</x:v>
      </x:c>
      <x:c r="I148">
        <x:v>295</x:v>
      </x:c>
      <x:c r="J148" t="s">
        <x:v>15</x:v>
      </x:c>
    </x:row>
    <x:row r="149">
      <x:c r="A149" s="44">
        <x:v>45864</x:v>
      </x:c>
      <x:c r="B149" t="s">
        <x:v>13</x:v>
      </x:c>
      <x:c r="C149" t="s">
        <x:v>16</x:v>
      </x:c>
      <x:c r="D149">
        <x:v>387.3</x:v>
      </x:c>
      <x:c r="E149">
        <x:v>39.7</x:v>
      </x:c>
      <x:c r="F149">
        <x:v>5</x:v>
      </x:c>
      <x:c r="G149">
        <x:v>59</x:v>
      </x:c>
      <x:c r="H149">
        <x:v>26.7</x:v>
      </x:c>
      <x:c r="I149">
        <x:v>13</x:v>
      </x:c>
      <x:c r="J149" t="s">
        <x:v>15</x:v>
      </x:c>
    </x:row>
    <x:row r="150">
      <x:c r="A150" s="44">
        <x:v>45865</x:v>
      </x:c>
      <x:c r="B150" t="s">
        <x:v>13</x:v>
      </x:c>
      <x:c r="C150" t="s">
        <x:v>16</x:v>
      </x:c>
      <x:c r="D150">
        <x:v>232.9</x:v>
      </x:c>
      <x:c r="E150">
        <x:v>66.09999999999999</x:v>
      </x:c>
      <x:c r="F150">
        <x:v>21</x:v>
      </x:c>
      <x:c r="G150">
        <x:v>14</x:v>
      </x:c>
      <x:c r="H150">
        <x:v>8.6</x:v>
      </x:c>
      <x:c r="I150">
        <x:v>334</x:v>
      </x:c>
      <x:c r="J150" t="s">
        <x:v>12</x:v>
      </x:c>
    </x:row>
    <x:row r="151">
      <x:c r="A151" s="44">
        <x:v>45866</x:v>
      </x:c>
      <x:c r="B151" t="s">
        <x:v>13</x:v>
      </x:c>
      <x:c r="C151" t="s">
        <x:v>14</x:v>
      </x:c>
      <x:c r="D151">
        <x:v>81.2</x:v>
      </x:c>
      <x:c r="E151">
        <x:v>118.5</x:v>
      </x:c>
      <x:c r="F151">
        <x:v>19</x:v>
      </x:c>
      <x:c r="G151">
        <x:v>42</x:v>
      </x:c>
      <x:c r="H151">
        <x:v>20.3</x:v>
      </x:c>
      <x:c r="I151">
        <x:v>273</x:v>
      </x:c>
      <x:c r="J151" t="s">
        <x:v>12</x:v>
      </x:c>
    </x:row>
    <x:row r="152">
      <x:c r="A152" s="44">
        <x:v>45867</x:v>
      </x:c>
      <x:c r="B152" t="s">
        <x:v>17</x:v>
      </x:c>
      <x:c r="C152" t="s">
        <x:v>11</x:v>
      </x:c>
      <x:c r="D152">
        <x:v>134.4</x:v>
      </x:c>
      <x:c r="E152">
        <x:v>53.1</x:v>
      </x:c>
      <x:c r="F152">
        <x:v>28</x:v>
      </x:c>
      <x:c r="G152">
        <x:v>10</x:v>
      </x:c>
      <x:c r="H152">
        <x:v>37.6</x:v>
      </x:c>
      <x:c r="I152">
        <x:v>141</x:v>
      </x:c>
      <x:c r="J152" t="s">
        <x:v>15</x:v>
      </x:c>
    </x:row>
    <x:row r="153">
      <x:c r="A153" s="44">
        <x:v>45868</x:v>
      </x:c>
      <x:c r="B153" t="s">
        <x:v>10</x:v>
      </x:c>
      <x:c r="C153" t="s">
        <x:v>14</x:v>
      </x:c>
      <x:c r="D153">
        <x:v>398.9</x:v>
      </x:c>
      <x:c r="E153">
        <x:v>31.4</x:v>
      </x:c>
      <x:c r="F153">
        <x:v>1</x:v>
      </x:c>
      <x:c r="G153">
        <x:v>46</x:v>
      </x:c>
      <x:c r="H153">
        <x:v>9</x:v>
      </x:c>
      <x:c r="I153">
        <x:v>213</x:v>
      </x:c>
      <x:c r="J153" t="s">
        <x:v>12</x:v>
      </x:c>
    </x:row>
    <x:row r="154">
      <x:c r="A154" s="44">
        <x:v>45869</x:v>
      </x:c>
      <x:c r="B154" t="s">
        <x:v>13</x:v>
      </x:c>
      <x:c r="C154" t="s">
        <x:v>16</x:v>
      </x:c>
      <x:c r="D154">
        <x:v>304.4</x:v>
      </x:c>
      <x:c r="E154">
        <x:v>100.2</x:v>
      </x:c>
      <x:c r="F154">
        <x:v>14</x:v>
      </x:c>
      <x:c r="G154">
        <x:v>14</x:v>
      </x:c>
      <x:c r="H154">
        <x:v>23</x:v>
      </x:c>
      <x:c r="I154">
        <x:v>326</x:v>
      </x:c>
      <x:c r="J154" t="s">
        <x:v>15</x:v>
      </x:c>
    </x:row>
    <x:row r="155">
      <x:c r="A155" s="44">
        <x:v>45870</x:v>
      </x:c>
      <x:c r="B155" t="s">
        <x:v>13</x:v>
      </x:c>
      <x:c r="C155" t="s">
        <x:v>11</x:v>
      </x:c>
      <x:c r="D155">
        <x:v>449.2</x:v>
      </x:c>
      <x:c r="E155">
        <x:v>44.9</x:v>
      </x:c>
      <x:c r="F155">
        <x:v>17</x:v>
      </x:c>
      <x:c r="G155">
        <x:v>38</x:v>
      </x:c>
      <x:c r="H155">
        <x:v>2.9</x:v>
      </x:c>
      <x:c r="I155">
        <x:v>53</x:v>
      </x:c>
      <x:c r="J155" t="s">
        <x:v>12</x:v>
      </x:c>
    </x:row>
    <x:row r="156">
      <x:c r="A156" s="44">
        <x:v>45871</x:v>
      </x:c>
      <x:c r="B156" t="s">
        <x:v>17</x:v>
      </x:c>
      <x:c r="C156" t="s">
        <x:v>11</x:v>
      </x:c>
      <x:c r="D156">
        <x:v>487.6</x:v>
      </x:c>
      <x:c r="E156">
        <x:v>68.59999999999999</x:v>
      </x:c>
      <x:c r="F156">
        <x:v>0</x:v>
      </x:c>
      <x:c r="G156">
        <x:v>34</x:v>
      </x:c>
      <x:c r="H156">
        <x:v>44</x:v>
      </x:c>
      <x:c r="I156">
        <x:v>346</x:v>
      </x:c>
      <x:c r="J156" t="s">
        <x:v>15</x:v>
      </x:c>
    </x:row>
    <x:row r="157">
      <x:c r="A157" s="44">
        <x:v>45872</x:v>
      </x:c>
      <x:c r="B157" t="s">
        <x:v>17</x:v>
      </x:c>
      <x:c r="C157" t="s">
        <x:v>14</x:v>
      </x:c>
      <x:c r="D157">
        <x:v>463.3</x:v>
      </x:c>
      <x:c r="E157">
        <x:v>69.90000000000001</x:v>
      </x:c>
      <x:c r="F157">
        <x:v>13</x:v>
      </x:c>
      <x:c r="G157">
        <x:v>48</x:v>
      </x:c>
      <x:c r="H157">
        <x:v>3.2</x:v>
      </x:c>
      <x:c r="I157">
        <x:v>376</x:v>
      </x:c>
      <x:c r="J157" t="s">
        <x:v>15</x:v>
      </x:c>
    </x:row>
    <x:row r="158">
      <x:c r="A158" s="44">
        <x:v>45873</x:v>
      </x:c>
      <x:c r="B158" t="s">
        <x:v>10</x:v>
      </x:c>
      <x:c r="C158" t="s">
        <x:v>11</x:v>
      </x:c>
      <x:c r="D158">
        <x:v>360.7</x:v>
      </x:c>
      <x:c r="E158">
        <x:v>73.59999999999999</x:v>
      </x:c>
      <x:c r="F158">
        <x:v>1</x:v>
      </x:c>
      <x:c r="G158">
        <x:v>21</x:v>
      </x:c>
      <x:c r="H158">
        <x:v>33.8</x:v>
      </x:c>
      <x:c r="I158">
        <x:v>82</x:v>
      </x:c>
      <x:c r="J158" t="s">
        <x:v>12</x:v>
      </x:c>
    </x:row>
    <x:row r="159">
      <x:c r="A159" s="44">
        <x:v>45874</x:v>
      </x:c>
      <x:c r="B159" t="s">
        <x:v>17</x:v>
      </x:c>
      <x:c r="C159" t="s">
        <x:v>11</x:v>
      </x:c>
      <x:c r="D159">
        <x:v>141.4</x:v>
      </x:c>
      <x:c r="E159">
        <x:v>74.40000000000001</x:v>
      </x:c>
      <x:c r="F159">
        <x:v>12</x:v>
      </x:c>
      <x:c r="G159">
        <x:v>26</x:v>
      </x:c>
      <x:c r="H159">
        <x:v>25.4</x:v>
      </x:c>
      <x:c r="I159">
        <x:v>205</x:v>
      </x:c>
      <x:c r="J159" t="s">
        <x:v>15</x:v>
      </x:c>
    </x:row>
    <x:row r="160">
      <x:c r="A160" s="44">
        <x:v>45875</x:v>
      </x:c>
      <x:c r="B160" t="s">
        <x:v>10</x:v>
      </x:c>
      <x:c r="C160" t="s">
        <x:v>11</x:v>
      </x:c>
      <x:c r="D160">
        <x:v>391.1</x:v>
      </x:c>
      <x:c r="E160">
        <x:v>34.7</x:v>
      </x:c>
      <x:c r="F160">
        <x:v>27</x:v>
      </x:c>
      <x:c r="G160">
        <x:v>43</x:v>
      </x:c>
      <x:c r="H160">
        <x:v>41.7</x:v>
      </x:c>
      <x:c r="I160">
        <x:v>447</x:v>
      </x:c>
      <x:c r="J160" t="s">
        <x:v>15</x:v>
      </x:c>
    </x:row>
    <x:row r="161">
      <x:c r="A161" s="44">
        <x:v>45876</x:v>
      </x:c>
      <x:c r="B161" t="s">
        <x:v>13</x:v>
      </x:c>
      <x:c r="C161" t="s">
        <x:v>16</x:v>
      </x:c>
      <x:c r="D161">
        <x:v>254.1</x:v>
      </x:c>
      <x:c r="E161">
        <x:v>22.7</x:v>
      </x:c>
      <x:c r="F161">
        <x:v>21</x:v>
      </x:c>
      <x:c r="G161">
        <x:v>44</x:v>
      </x:c>
      <x:c r="H161">
        <x:v>7.8</x:v>
      </x:c>
      <x:c r="I161">
        <x:v>147</x:v>
      </x:c>
      <x:c r="J161" t="s">
        <x:v>12</x:v>
      </x:c>
    </x:row>
    <x:row r="162">
      <x:c r="A162" s="44">
        <x:v>45877</x:v>
      </x:c>
      <x:c r="B162" t="s">
        <x:v>17</x:v>
      </x:c>
      <x:c r="C162" t="s">
        <x:v>14</x:v>
      </x:c>
      <x:c r="D162">
        <x:v>398.7</x:v>
      </x:c>
      <x:c r="E162">
        <x:v>47</x:v>
      </x:c>
      <x:c r="F162">
        <x:v>25</x:v>
      </x:c>
      <x:c r="G162">
        <x:v>37</x:v>
      </x:c>
      <x:c r="H162">
        <x:v>19.3</x:v>
      </x:c>
      <x:c r="I162">
        <x:v>416</x:v>
      </x:c>
      <x:c r="J162" t="s">
        <x:v>15</x:v>
      </x:c>
    </x:row>
    <x:row r="163">
      <x:c r="A163" s="44">
        <x:v>45878</x:v>
      </x:c>
      <x:c r="B163" t="s">
        <x:v>17</x:v>
      </x:c>
      <x:c r="C163" t="s">
        <x:v>16</x:v>
      </x:c>
      <x:c r="D163">
        <x:v>262.9</x:v>
      </x:c>
      <x:c r="E163">
        <x:v>117.2</x:v>
      </x:c>
      <x:c r="F163">
        <x:v>16</x:v>
      </x:c>
      <x:c r="G163">
        <x:v>18</x:v>
      </x:c>
      <x:c r="H163">
        <x:v>28.3</x:v>
      </x:c>
      <x:c r="I163">
        <x:v>319</x:v>
      </x:c>
      <x:c r="J163" t="s">
        <x:v>15</x:v>
      </x:c>
    </x:row>
    <x:row r="164">
      <x:c r="A164" s="44">
        <x:v>45879</x:v>
      </x:c>
      <x:c r="B164" t="s">
        <x:v>13</x:v>
      </x:c>
      <x:c r="C164" t="s">
        <x:v>16</x:v>
      </x:c>
      <x:c r="D164">
        <x:v>289</x:v>
      </x:c>
      <x:c r="E164">
        <x:v>86.59999999999999</x:v>
      </x:c>
      <x:c r="F164">
        <x:v>17</x:v>
      </x:c>
      <x:c r="G164">
        <x:v>26</x:v>
      </x:c>
      <x:c r="H164">
        <x:v>30.8</x:v>
      </x:c>
      <x:c r="I164">
        <x:v>368</x:v>
      </x:c>
      <x:c r="J164" t="s">
        <x:v>12</x:v>
      </x:c>
    </x:row>
    <x:row r="165">
      <x:c r="A165" s="44">
        <x:v>45880</x:v>
      </x:c>
      <x:c r="B165" t="s">
        <x:v>10</x:v>
      </x:c>
      <x:c r="C165" t="s">
        <x:v>11</x:v>
      </x:c>
      <x:c r="D165">
        <x:v>328.1</x:v>
      </x:c>
      <x:c r="E165">
        <x:v>44</x:v>
      </x:c>
      <x:c r="F165">
        <x:v>5</x:v>
      </x:c>
      <x:c r="G165">
        <x:v>38</x:v>
      </x:c>
      <x:c r="H165">
        <x:v>12.4</x:v>
      </x:c>
      <x:c r="I165">
        <x:v>15</x:v>
      </x:c>
      <x:c r="J165" t="s">
        <x:v>15</x:v>
      </x:c>
    </x:row>
    <x:row r="166">
      <x:c r="A166" s="44">
        <x:v>45881</x:v>
      </x:c>
      <x:c r="B166" t="s">
        <x:v>10</x:v>
      </x:c>
      <x:c r="C166" t="s">
        <x:v>16</x:v>
      </x:c>
      <x:c r="D166">
        <x:v>168.8</x:v>
      </x:c>
      <x:c r="E166">
        <x:v>32.3</x:v>
      </x:c>
      <x:c r="F166">
        <x:v>18</x:v>
      </x:c>
      <x:c r="G166">
        <x:v>49</x:v>
      </x:c>
      <x:c r="H166">
        <x:v>46.1</x:v>
      </x:c>
      <x:c r="I166">
        <x:v>451</x:v>
      </x:c>
      <x:c r="J166" t="s">
        <x:v>15</x:v>
      </x:c>
    </x:row>
    <x:row r="167">
      <x:c r="A167" s="44">
        <x:v>45882</x:v>
      </x:c>
      <x:c r="B167" t="s">
        <x:v>13</x:v>
      </x:c>
      <x:c r="C167" t="s">
        <x:v>14</x:v>
      </x:c>
      <x:c r="D167">
        <x:v>448.1</x:v>
      </x:c>
      <x:c r="E167">
        <x:v>11.4</x:v>
      </x:c>
      <x:c r="F167">
        <x:v>17</x:v>
      </x:c>
      <x:c r="G167">
        <x:v>38</x:v>
      </x:c>
      <x:c r="H167">
        <x:v>18.8</x:v>
      </x:c>
      <x:c r="I167">
        <x:v>265</x:v>
      </x:c>
      <x:c r="J167" t="s">
        <x:v>12</x:v>
      </x:c>
    </x:row>
    <x:row r="168">
      <x:c r="A168" s="44">
        <x:v>45883</x:v>
      </x:c>
      <x:c r="B168" t="s">
        <x:v>10</x:v>
      </x:c>
      <x:c r="C168" t="s">
        <x:v>14</x:v>
      </x:c>
      <x:c r="D168">
        <x:v>459.3</x:v>
      </x:c>
      <x:c r="E168">
        <x:v>23.1</x:v>
      </x:c>
      <x:c r="F168">
        <x:v>13</x:v>
      </x:c>
      <x:c r="G168">
        <x:v>23</x:v>
      </x:c>
      <x:c r="H168">
        <x:v>38.3</x:v>
      </x:c>
      <x:c r="I168">
        <x:v>250</x:v>
      </x:c>
      <x:c r="J168" t="s">
        <x:v>12</x:v>
      </x:c>
    </x:row>
    <x:row r="169">
      <x:c r="A169" s="44">
        <x:v>45884</x:v>
      </x:c>
      <x:c r="B169" t="s">
        <x:v>13</x:v>
      </x:c>
      <x:c r="C169" t="s">
        <x:v>16</x:v>
      </x:c>
      <x:c r="D169">
        <x:v>308.2</x:v>
      </x:c>
      <x:c r="E169">
        <x:v>82.5</x:v>
      </x:c>
      <x:c r="F169">
        <x:v>7</x:v>
      </x:c>
      <x:c r="G169">
        <x:v>41</x:v>
      </x:c>
      <x:c r="H169">
        <x:v>32.5</x:v>
      </x:c>
      <x:c r="I169">
        <x:v>491</x:v>
      </x:c>
      <x:c r="J169" t="s">
        <x:v>12</x:v>
      </x:c>
    </x:row>
    <x:row r="170">
      <x:c r="A170" s="44">
        <x:v>45885</x:v>
      </x:c>
      <x:c r="B170" t="s">
        <x:v>13</x:v>
      </x:c>
      <x:c r="C170" t="s">
        <x:v>11</x:v>
      </x:c>
      <x:c r="D170">
        <x:v>302.9</x:v>
      </x:c>
      <x:c r="E170">
        <x:v>70.40000000000001</x:v>
      </x:c>
      <x:c r="F170">
        <x:v>16</x:v>
      </x:c>
      <x:c r="G170">
        <x:v>18</x:v>
      </x:c>
      <x:c r="H170">
        <x:v>22.4</x:v>
      </x:c>
      <x:c r="I170">
        <x:v>419</x:v>
      </x:c>
      <x:c r="J170" t="s">
        <x:v>15</x:v>
      </x:c>
    </x:row>
    <x:row r="171">
      <x:c r="A171" s="44">
        <x:v>45886</x:v>
      </x:c>
      <x:c r="B171" t="s">
        <x:v>10</x:v>
      </x:c>
      <x:c r="C171" t="s">
        <x:v>16</x:v>
      </x:c>
      <x:c r="D171">
        <x:v>319.8</x:v>
      </x:c>
      <x:c r="E171">
        <x:v>114.7</x:v>
      </x:c>
      <x:c r="F171">
        <x:v>1</x:v>
      </x:c>
      <x:c r="G171">
        <x:v>59</x:v>
      </x:c>
      <x:c r="H171">
        <x:v>20.1</x:v>
      </x:c>
      <x:c r="I171">
        <x:v>332</x:v>
      </x:c>
      <x:c r="J171" t="s">
        <x:v>15</x:v>
      </x:c>
    </x:row>
    <x:row r="172">
      <x:c r="A172" s="44">
        <x:v>45887</x:v>
      </x:c>
      <x:c r="B172" t="s">
        <x:v>17</x:v>
      </x:c>
      <x:c r="C172" t="s">
        <x:v>16</x:v>
      </x:c>
      <x:c r="D172">
        <x:v>383.3</x:v>
      </x:c>
      <x:c r="E172">
        <x:v>60.4</x:v>
      </x:c>
      <x:c r="F172">
        <x:v>23</x:v>
      </x:c>
      <x:c r="G172">
        <x:v>12</x:v>
      </x:c>
      <x:c r="H172">
        <x:v>26.5</x:v>
      </x:c>
      <x:c r="I172">
        <x:v>497</x:v>
      </x:c>
      <x:c r="J172" t="s">
        <x:v>15</x:v>
      </x:c>
    </x:row>
    <x:row r="173">
      <x:c r="A173" s="44">
        <x:v>45888</x:v>
      </x:c>
      <x:c r="B173" t="s">
        <x:v>13</x:v>
      </x:c>
      <x:c r="C173" t="s">
        <x:v>11</x:v>
      </x:c>
      <x:c r="D173">
        <x:v>212</x:v>
      </x:c>
      <x:c r="E173">
        <x:v>106.3</x:v>
      </x:c>
      <x:c r="F173">
        <x:v>14</x:v>
      </x:c>
      <x:c r="G173">
        <x:v>8</x:v>
      </x:c>
      <x:c r="H173">
        <x:v>21.2</x:v>
      </x:c>
      <x:c r="I173">
        <x:v>275</x:v>
      </x:c>
      <x:c r="J173" t="s">
        <x:v>12</x:v>
      </x:c>
    </x:row>
    <x:row r="174">
      <x:c r="A174" s="44">
        <x:v>45889</x:v>
      </x:c>
      <x:c r="B174" t="s">
        <x:v>17</x:v>
      </x:c>
      <x:c r="C174" t="s">
        <x:v>16</x:v>
      </x:c>
      <x:c r="D174">
        <x:v>113.4</x:v>
      </x:c>
      <x:c r="E174">
        <x:v>75.3</x:v>
      </x:c>
      <x:c r="F174">
        <x:v>1</x:v>
      </x:c>
      <x:c r="G174">
        <x:v>26</x:v>
      </x:c>
      <x:c r="H174">
        <x:v>2.2</x:v>
      </x:c>
      <x:c r="I174">
        <x:v>336</x:v>
      </x:c>
      <x:c r="J174" t="s">
        <x:v>15</x:v>
      </x:c>
    </x:row>
    <x:row r="175">
      <x:c r="A175" s="44">
        <x:v>45890</x:v>
      </x:c>
      <x:c r="B175" t="s">
        <x:v>10</x:v>
      </x:c>
      <x:c r="C175" t="s">
        <x:v>14</x:v>
      </x:c>
      <x:c r="D175">
        <x:v>97.3</x:v>
      </x:c>
      <x:c r="E175">
        <x:v>14.5</x:v>
      </x:c>
      <x:c r="F175">
        <x:v>19</x:v>
      </x:c>
      <x:c r="G175">
        <x:v>56</x:v>
      </x:c>
      <x:c r="H175">
        <x:v>25.1</x:v>
      </x:c>
      <x:c r="I175">
        <x:v>335</x:v>
      </x:c>
      <x:c r="J175" t="s">
        <x:v>12</x:v>
      </x:c>
    </x:row>
    <x:row r="176">
      <x:c r="A176" s="44">
        <x:v>45891</x:v>
      </x:c>
      <x:c r="B176" t="s">
        <x:v>17</x:v>
      </x:c>
      <x:c r="C176" t="s">
        <x:v>14</x:v>
      </x:c>
      <x:c r="D176">
        <x:v>354.8</x:v>
      </x:c>
      <x:c r="E176">
        <x:v>17.6</x:v>
      </x:c>
      <x:c r="F176">
        <x:v>24</x:v>
      </x:c>
      <x:c r="G176">
        <x:v>52</x:v>
      </x:c>
      <x:c r="H176">
        <x:v>44.9</x:v>
      </x:c>
      <x:c r="I176">
        <x:v>15</x:v>
      </x:c>
      <x:c r="J176" t="s">
        <x:v>15</x:v>
      </x:c>
    </x:row>
    <x:row r="177">
      <x:c r="A177" s="44">
        <x:v>45892</x:v>
      </x:c>
      <x:c r="B177" t="s">
        <x:v>10</x:v>
      </x:c>
      <x:c r="C177" t="s">
        <x:v>11</x:v>
      </x:c>
      <x:c r="D177">
        <x:v>246.7</x:v>
      </x:c>
      <x:c r="E177">
        <x:v>33.6</x:v>
      </x:c>
      <x:c r="F177">
        <x:v>4</x:v>
      </x:c>
      <x:c r="G177">
        <x:v>42</x:v>
      </x:c>
      <x:c r="H177">
        <x:v>23.5</x:v>
      </x:c>
      <x:c r="I177">
        <x:v>312</x:v>
      </x:c>
      <x:c r="J177" t="s">
        <x:v>15</x:v>
      </x:c>
    </x:row>
    <x:row r="178">
      <x:c r="A178" s="44">
        <x:v>45893</x:v>
      </x:c>
      <x:c r="B178" t="s">
        <x:v>13</x:v>
      </x:c>
      <x:c r="C178" t="s">
        <x:v>14</x:v>
      </x:c>
      <x:c r="D178">
        <x:v>331.5</x:v>
      </x:c>
      <x:c r="E178">
        <x:v>108.5</x:v>
      </x:c>
      <x:c r="F178">
        <x:v>12</x:v>
      </x:c>
      <x:c r="G178">
        <x:v>7</x:v>
      </x:c>
      <x:c r="H178">
        <x:v>5.9</x:v>
      </x:c>
      <x:c r="I178">
        <x:v>189</x:v>
      </x:c>
      <x:c r="J178" t="s">
        <x:v>12</x:v>
      </x:c>
    </x:row>
    <x:row r="179">
      <x:c r="A179" s="44">
        <x:v>45894</x:v>
      </x:c>
      <x:c r="B179" t="s">
        <x:v>13</x:v>
      </x:c>
      <x:c r="C179" t="s">
        <x:v>14</x:v>
      </x:c>
      <x:c r="D179">
        <x:v>404.5</x:v>
      </x:c>
      <x:c r="E179">
        <x:v>65.3</x:v>
      </x:c>
      <x:c r="F179">
        <x:v>2</x:v>
      </x:c>
      <x:c r="G179">
        <x:v>25</x:v>
      </x:c>
      <x:c r="H179">
        <x:v>10</x:v>
      </x:c>
      <x:c r="I179">
        <x:v>451</x:v>
      </x:c>
      <x:c r="J179" t="s">
        <x:v>12</x:v>
      </x:c>
    </x:row>
    <x:row r="180">
      <x:c r="A180" s="44">
        <x:v>45895</x:v>
      </x:c>
      <x:c r="B180" t="s">
        <x:v>17</x:v>
      </x:c>
      <x:c r="C180" t="s">
        <x:v>16</x:v>
      </x:c>
      <x:c r="D180">
        <x:v>344.8</x:v>
      </x:c>
      <x:c r="E180">
        <x:v>20.1</x:v>
      </x:c>
      <x:c r="F180">
        <x:v>1</x:v>
      </x:c>
      <x:c r="G180">
        <x:v>46</x:v>
      </x:c>
      <x:c r="H180">
        <x:v>11.9</x:v>
      </x:c>
      <x:c r="I180">
        <x:v>61</x:v>
      </x:c>
      <x:c r="J180" t="s">
        <x:v>12</x:v>
      </x:c>
    </x:row>
    <x:row r="181">
      <x:c r="A181" s="44">
        <x:v>45896</x:v>
      </x:c>
      <x:c r="B181" t="s">
        <x:v>17</x:v>
      </x:c>
      <x:c r="C181" t="s">
        <x:v>14</x:v>
      </x:c>
      <x:c r="D181">
        <x:v>151.4</x:v>
      </x:c>
      <x:c r="E181">
        <x:v>37.2</x:v>
      </x:c>
      <x:c r="F181">
        <x:v>29</x:v>
      </x:c>
      <x:c r="G181">
        <x:v>40</x:v>
      </x:c>
      <x:c r="H181">
        <x:v>25.6</x:v>
      </x:c>
      <x:c r="I181">
        <x:v>316</x:v>
      </x:c>
      <x:c r="J181" t="s">
        <x:v>12</x:v>
      </x:c>
    </x:row>
    <x:row r="182">
      <x:c r="A182" s="44">
        <x:v>45897</x:v>
      </x:c>
      <x:c r="B182" t="s">
        <x:v>17</x:v>
      </x:c>
      <x:c r="C182" t="s">
        <x:v>16</x:v>
      </x:c>
      <x:c r="D182">
        <x:v>440.8</x:v>
      </x:c>
      <x:c r="E182">
        <x:v>26.4</x:v>
      </x:c>
      <x:c r="F182">
        <x:v>21</x:v>
      </x:c>
      <x:c r="G182">
        <x:v>49</x:v>
      </x:c>
      <x:c r="H182">
        <x:v>40.9</x:v>
      </x:c>
      <x:c r="I182">
        <x:v>360</x:v>
      </x:c>
      <x:c r="J182" t="s">
        <x:v>12</x:v>
      </x:c>
    </x:row>
    <x:row r="183">
      <x:c r="A183" s="44">
        <x:v>45898</x:v>
      </x:c>
      <x:c r="B183" t="s">
        <x:v>13</x:v>
      </x:c>
      <x:c r="C183" t="s">
        <x:v>14</x:v>
      </x:c>
      <x:c r="D183">
        <x:v>455.7</x:v>
      </x:c>
      <x:c r="E183">
        <x:v>72.40000000000001</x:v>
      </x:c>
      <x:c r="F183">
        <x:v>9</x:v>
      </x:c>
      <x:c r="G183">
        <x:v>13</x:v>
      </x:c>
      <x:c r="H183">
        <x:v>6.4</x:v>
      </x:c>
      <x:c r="I183">
        <x:v>111</x:v>
      </x:c>
      <x:c r="J183" t="s">
        <x:v>15</x:v>
      </x:c>
    </x:row>
    <x:row r="184">
      <x:c r="A184" s="44">
        <x:v>45899</x:v>
      </x:c>
      <x:c r="B184" t="s">
        <x:v>10</x:v>
      </x:c>
      <x:c r="C184" t="s">
        <x:v>14</x:v>
      </x:c>
      <x:c r="D184">
        <x:v>141.5</x:v>
      </x:c>
      <x:c r="E184">
        <x:v>104.2</x:v>
      </x:c>
      <x:c r="F184">
        <x:v>1</x:v>
      </x:c>
      <x:c r="G184">
        <x:v>30</x:v>
      </x:c>
      <x:c r="H184">
        <x:v>39.6</x:v>
      </x:c>
      <x:c r="I184">
        <x:v>322</x:v>
      </x:c>
      <x:c r="J184" t="s">
        <x:v>12</x:v>
      </x:c>
    </x:row>
    <x:row r="185">
      <x:c r="A185" s="44">
        <x:v>45900</x:v>
      </x:c>
      <x:c r="B185" t="s">
        <x:v>17</x:v>
      </x:c>
      <x:c r="C185" t="s">
        <x:v>11</x:v>
      </x:c>
      <x:c r="D185">
        <x:v>156.1</x:v>
      </x:c>
      <x:c r="E185">
        <x:v>43.1</x:v>
      </x:c>
      <x:c r="F185">
        <x:v>7</x:v>
      </x:c>
      <x:c r="G185">
        <x:v>42</x:v>
      </x:c>
      <x:c r="H185">
        <x:v>30.9</x:v>
      </x:c>
      <x:c r="I185">
        <x:v>356</x:v>
      </x:c>
      <x:c r="J185" t="s">
        <x:v>15</x:v>
      </x:c>
    </x:row>
    <x:row r="186">
      <x:c r="A186" s="44">
        <x:v>45901</x:v>
      </x:c>
      <x:c r="B186" t="s">
        <x:v>17</x:v>
      </x:c>
      <x:c r="C186" t="s">
        <x:v>11</x:v>
      </x:c>
      <x:c r="D186">
        <x:v>156.8</x:v>
      </x:c>
      <x:c r="E186">
        <x:v>91.8</x:v>
      </x:c>
      <x:c r="F186">
        <x:v>4</x:v>
      </x:c>
      <x:c r="G186">
        <x:v>39</x:v>
      </x:c>
      <x:c r="H186">
        <x:v>33.4</x:v>
      </x:c>
      <x:c r="I186">
        <x:v>463</x:v>
      </x:c>
      <x:c r="J186" t="s">
        <x:v>12</x:v>
      </x:c>
    </x:row>
    <x:row r="187">
      <x:c r="A187" s="44">
        <x:v>45902</x:v>
      </x:c>
      <x:c r="B187" t="s">
        <x:v>17</x:v>
      </x:c>
      <x:c r="C187" t="s">
        <x:v>14</x:v>
      </x:c>
      <x:c r="D187">
        <x:v>268</x:v>
      </x:c>
      <x:c r="E187">
        <x:v>44.2</x:v>
      </x:c>
      <x:c r="F187">
        <x:v>20</x:v>
      </x:c>
      <x:c r="G187">
        <x:v>36</x:v>
      </x:c>
      <x:c r="H187">
        <x:v>4.3</x:v>
      </x:c>
      <x:c r="I187">
        <x:v>72</x:v>
      </x:c>
      <x:c r="J187" t="s">
        <x:v>15</x:v>
      </x:c>
    </x:row>
    <x:row r="188">
      <x:c r="A188" s="44">
        <x:v>45903</x:v>
      </x:c>
      <x:c r="B188" t="s">
        <x:v>17</x:v>
      </x:c>
      <x:c r="C188" t="s">
        <x:v>16</x:v>
      </x:c>
      <x:c r="D188">
        <x:v>485.8</x:v>
      </x:c>
      <x:c r="E188">
        <x:v>88.3</x:v>
      </x:c>
      <x:c r="F188">
        <x:v>16</x:v>
      </x:c>
      <x:c r="G188">
        <x:v>17</x:v>
      </x:c>
      <x:c r="H188">
        <x:v>32.4</x:v>
      </x:c>
      <x:c r="I188">
        <x:v>81</x:v>
      </x:c>
      <x:c r="J188" t="s">
        <x:v>12</x:v>
      </x:c>
    </x:row>
    <x:row r="189">
      <x:c r="A189" s="44">
        <x:v>45904</x:v>
      </x:c>
      <x:c r="B189" t="s">
        <x:v>17</x:v>
      </x:c>
      <x:c r="C189" t="s">
        <x:v>11</x:v>
      </x:c>
      <x:c r="D189">
        <x:v>324.6</x:v>
      </x:c>
      <x:c r="E189">
        <x:v>119.9</x:v>
      </x:c>
      <x:c r="F189">
        <x:v>22</x:v>
      </x:c>
      <x:c r="G189">
        <x:v>34</x:v>
      </x:c>
      <x:c r="H189">
        <x:v>19.3</x:v>
      </x:c>
      <x:c r="I189">
        <x:v>386</x:v>
      </x:c>
      <x:c r="J189" t="s">
        <x:v>12</x:v>
      </x:c>
    </x:row>
    <x:row r="190">
      <x:c r="A190" s="44">
        <x:v>45905</x:v>
      </x:c>
      <x:c r="B190" t="s">
        <x:v>17</x:v>
      </x:c>
      <x:c r="C190" t="s">
        <x:v>11</x:v>
      </x:c>
      <x:c r="D190">
        <x:v>180.8</x:v>
      </x:c>
      <x:c r="E190">
        <x:v>47.5</x:v>
      </x:c>
      <x:c r="F190">
        <x:v>25</x:v>
      </x:c>
      <x:c r="G190">
        <x:v>53</x:v>
      </x:c>
      <x:c r="H190">
        <x:v>32.2</x:v>
      </x:c>
      <x:c r="I190">
        <x:v>427</x:v>
      </x:c>
      <x:c r="J190" t="s">
        <x:v>12</x:v>
      </x:c>
    </x:row>
    <x:row r="191">
      <x:c r="A191" s="44">
        <x:v>45906</x:v>
      </x:c>
      <x:c r="B191" t="s">
        <x:v>13</x:v>
      </x:c>
      <x:c r="C191" t="s">
        <x:v>14</x:v>
      </x:c>
      <x:c r="D191">
        <x:v>415.3</x:v>
      </x:c>
      <x:c r="E191">
        <x:v>17.7</x:v>
      </x:c>
      <x:c r="F191">
        <x:v>16</x:v>
      </x:c>
      <x:c r="G191">
        <x:v>20</x:v>
      </x:c>
      <x:c r="H191">
        <x:v>2</x:v>
      </x:c>
      <x:c r="I191">
        <x:v>473</x:v>
      </x:c>
      <x:c r="J191" t="s">
        <x:v>12</x:v>
      </x:c>
    </x:row>
    <x:row r="192">
      <x:c r="A192" s="44">
        <x:v>45907</x:v>
      </x:c>
      <x:c r="B192" t="s">
        <x:v>10</x:v>
      </x:c>
      <x:c r="C192" t="s">
        <x:v>16</x:v>
      </x:c>
      <x:c r="D192">
        <x:v>401.7</x:v>
      </x:c>
      <x:c r="E192">
        <x:v>28.1</x:v>
      </x:c>
      <x:c r="F192">
        <x:v>0</x:v>
      </x:c>
      <x:c r="G192">
        <x:v>51</x:v>
      </x:c>
      <x:c r="H192">
        <x:v>18.5</x:v>
      </x:c>
      <x:c r="I192">
        <x:v>249</x:v>
      </x:c>
      <x:c r="J192" t="s">
        <x:v>12</x:v>
      </x:c>
    </x:row>
    <x:row r="193">
      <x:c r="A193" s="44">
        <x:v>45908</x:v>
      </x:c>
      <x:c r="B193" t="s">
        <x:v>13</x:v>
      </x:c>
      <x:c r="C193" t="s">
        <x:v>14</x:v>
      </x:c>
      <x:c r="D193">
        <x:v>229.7</x:v>
      </x:c>
      <x:c r="E193">
        <x:v>19</x:v>
      </x:c>
      <x:c r="F193">
        <x:v>27</x:v>
      </x:c>
      <x:c r="G193">
        <x:v>26</x:v>
      </x:c>
      <x:c r="H193">
        <x:v>10.1</x:v>
      </x:c>
      <x:c r="I193">
        <x:v>216</x:v>
      </x:c>
      <x:c r="J193" t="s">
        <x:v>12</x:v>
      </x:c>
    </x:row>
    <x:row r="194">
      <x:c r="A194" s="44">
        <x:v>45909</x:v>
      </x:c>
      <x:c r="B194" t="s">
        <x:v>10</x:v>
      </x:c>
      <x:c r="C194" t="s">
        <x:v>16</x:v>
      </x:c>
      <x:c r="D194">
        <x:v>214.5</x:v>
      </x:c>
      <x:c r="E194">
        <x:v>78</x:v>
      </x:c>
      <x:c r="F194">
        <x:v>4</x:v>
      </x:c>
      <x:c r="G194">
        <x:v>57</x:v>
      </x:c>
      <x:c r="H194">
        <x:v>37.5</x:v>
      </x:c>
      <x:c r="I194">
        <x:v>20</x:v>
      </x:c>
      <x:c r="J194" t="s">
        <x:v>15</x:v>
      </x:c>
    </x:row>
    <x:row r="195">
      <x:c r="A195" s="44">
        <x:v>45910</x:v>
      </x:c>
      <x:c r="B195" t="s">
        <x:v>10</x:v>
      </x:c>
      <x:c r="C195" t="s">
        <x:v>11</x:v>
      </x:c>
      <x:c r="D195">
        <x:v>320.1</x:v>
      </x:c>
      <x:c r="E195">
        <x:v>114.1</x:v>
      </x:c>
      <x:c r="F195">
        <x:v>26</x:v>
      </x:c>
      <x:c r="G195">
        <x:v>5</x:v>
      </x:c>
      <x:c r="H195">
        <x:v>46.5</x:v>
      </x:c>
      <x:c r="I195">
        <x:v>329</x:v>
      </x:c>
      <x:c r="J195" t="s">
        <x:v>15</x:v>
      </x:c>
    </x:row>
    <x:row r="196">
      <x:c r="A196" s="44">
        <x:v>45911</x:v>
      </x:c>
      <x:c r="B196" t="s">
        <x:v>17</x:v>
      </x:c>
      <x:c r="C196" t="s">
        <x:v>16</x:v>
      </x:c>
      <x:c r="D196">
        <x:v>416.1</x:v>
      </x:c>
      <x:c r="E196">
        <x:v>34.2</x:v>
      </x:c>
      <x:c r="F196">
        <x:v>18</x:v>
      </x:c>
      <x:c r="G196">
        <x:v>10</x:v>
      </x:c>
      <x:c r="H196">
        <x:v>47.1</x:v>
      </x:c>
      <x:c r="I196">
        <x:v>376</x:v>
      </x:c>
      <x:c r="J196" t="s">
        <x:v>12</x:v>
      </x:c>
    </x:row>
    <x:row r="197">
      <x:c r="A197" s="44">
        <x:v>45912</x:v>
      </x:c>
      <x:c r="B197" t="s">
        <x:v>17</x:v>
      </x:c>
      <x:c r="C197" t="s">
        <x:v>16</x:v>
      </x:c>
      <x:c r="D197">
        <x:v>353.7</x:v>
      </x:c>
      <x:c r="E197">
        <x:v>13.9</x:v>
      </x:c>
      <x:c r="F197">
        <x:v>7</x:v>
      </x:c>
      <x:c r="G197">
        <x:v>42</x:v>
      </x:c>
      <x:c r="H197">
        <x:v>30.4</x:v>
      </x:c>
      <x:c r="I197">
        <x:v>103</x:v>
      </x:c>
      <x:c r="J197" t="s">
        <x:v>15</x:v>
      </x:c>
    </x:row>
    <x:row r="198">
      <x:c r="A198" s="44">
        <x:v>45913</x:v>
      </x:c>
      <x:c r="B198" t="s">
        <x:v>17</x:v>
      </x:c>
      <x:c r="C198" t="s">
        <x:v>11</x:v>
      </x:c>
      <x:c r="D198">
        <x:v>90.59999999999999</x:v>
      </x:c>
      <x:c r="E198">
        <x:v>48.9</x:v>
      </x:c>
      <x:c r="F198">
        <x:v>17</x:v>
      </x:c>
      <x:c r="G198">
        <x:v>42</x:v>
      </x:c>
      <x:c r="H198">
        <x:v>10.1</x:v>
      </x:c>
      <x:c r="I198">
        <x:v>158</x:v>
      </x:c>
      <x:c r="J198" t="s">
        <x:v>15</x:v>
      </x:c>
    </x:row>
    <x:row r="199">
      <x:c r="A199" s="44">
        <x:v>45914</x:v>
      </x:c>
      <x:c r="B199" t="s">
        <x:v>17</x:v>
      </x:c>
      <x:c r="C199" t="s">
        <x:v>16</x:v>
      </x:c>
      <x:c r="D199">
        <x:v>75.09999999999999</x:v>
      </x:c>
      <x:c r="E199">
        <x:v>52.5</x:v>
      </x:c>
      <x:c r="F199">
        <x:v>25</x:v>
      </x:c>
      <x:c r="G199">
        <x:v>9</x:v>
      </x:c>
      <x:c r="H199">
        <x:v>28.9</x:v>
      </x:c>
      <x:c r="I199">
        <x:v>349</x:v>
      </x:c>
      <x:c r="J199" t="s">
        <x:v>12</x:v>
      </x:c>
    </x:row>
    <x:row r="200">
      <x:c r="A200" s="44">
        <x:v>45915</x:v>
      </x:c>
      <x:c r="B200" t="s">
        <x:v>10</x:v>
      </x:c>
      <x:c r="C200" t="s">
        <x:v>14</x:v>
      </x:c>
      <x:c r="D200">
        <x:v>402.7</x:v>
      </x:c>
      <x:c r="E200">
        <x:v>23</x:v>
      </x:c>
      <x:c r="F200">
        <x:v>10</x:v>
      </x:c>
      <x:c r="G200">
        <x:v>36</x:v>
      </x:c>
      <x:c r="H200">
        <x:v>7.2</x:v>
      </x:c>
      <x:c r="I200">
        <x:v>499</x:v>
      </x:c>
      <x:c r="J200" t="s">
        <x:v>15</x:v>
      </x:c>
    </x:row>
    <x:row r="201">
      <x:c r="A201" s="44">
        <x:v>45916</x:v>
      </x:c>
      <x:c r="B201" t="s">
        <x:v>13</x:v>
      </x:c>
      <x:c r="C201" t="s">
        <x:v>14</x:v>
      </x:c>
      <x:c r="D201">
        <x:v>185.2</x:v>
      </x:c>
      <x:c r="E201">
        <x:v>75</x:v>
      </x:c>
      <x:c r="F201">
        <x:v>18</x:v>
      </x:c>
      <x:c r="G201">
        <x:v>32</x:v>
      </x:c>
      <x:c r="H201">
        <x:v>34.2</x:v>
      </x:c>
      <x:c r="I201">
        <x:v>464</x:v>
      </x:c>
      <x:c r="J201" t="s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7e4ed033e42c43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7" customHeight="1">
      <x:c r="A1" s="8" t="str">
        <x:v>REDCONECTA  |  DASHBOARD OPERACIONAL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</x:row>
    <x:row r="2" ht="27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 ht="27" customHeight="1">
      <x:c r="A3" s="12" t="str">
        <x:v>Indicadores vinculados al dataset original · Edite la hoja Datos y recalcule en Excel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</x:row>
    <x:row r="5" ht="26" customHeight="1">
      <x:c r="A5" s="19" t="str">
        <x:v>REGISTROS</x:v>
      </x:c>
      <x:c r="B5" s="19"/>
      <x:c r="C5" s="19"/>
      <x:c r="D5" s="19"/>
      <x:c r="E5" s="19" t="str">
        <x:v>LATENCIA PROMEDIO (ms)</x:v>
      </x:c>
      <x:c r="F5" s="19"/>
      <x:c r="G5" s="19"/>
      <x:c r="H5" s="19"/>
      <x:c r="I5" s="19" t="str">
        <x:v>RESOLUCIÓN PROMEDIO (h)</x:v>
      </x:c>
      <x:c r="J5" s="19"/>
      <x:c r="K5" s="19"/>
      <x:c r="L5" s="19"/>
      <x:c r="M5" s="19" t="str">
        <x:v>CUMPLIMIENTO SLA</x:v>
      </x:c>
      <x:c r="N5" s="19"/>
      <x:c r="O5" s="19"/>
      <x:c r="P5" s="19"/>
    </x:row>
    <x:row r="6" ht="23" customHeight="1">
      <x:c r="A6" s="25" t="n">
        <x:f>Resumen_Calculos!N2</x:f>
        <x:v>200</x:v>
      </x:c>
      <x:c r="B6" s="26"/>
      <x:c r="C6" s="26"/>
      <x:c r="D6" s="26"/>
      <x:c r="E6" s="33" t="n">
        <x:f>Resumen_Calculos!N3</x:f>
        <x:v>64.86150000000002</x:v>
      </x:c>
      <x:c r="F6" s="26"/>
      <x:c r="G6" s="26"/>
      <x:c r="H6" s="26"/>
      <x:c r="I6" s="33" t="n">
        <x:f>Resumen_Calculos!N4</x:f>
        <x:v>25.3295</x:v>
      </x:c>
      <x:c r="J6" s="26"/>
      <x:c r="K6" s="26"/>
      <x:c r="L6" s="26"/>
      <x:c r="M6" s="37" t="n">
        <x:f>Resumen_Calculos!N5</x:f>
        <x:v>0.48</x:v>
      </x:c>
      <x:c r="N6" s="26"/>
      <x:c r="O6" s="26"/>
      <x:c r="P6" s="26"/>
    </x:row>
    <x:row r="7" ht="23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</x:row>
    <x:row r="46">
      <x:c r="A46" s="47" t="str">
        <x:v>Fuente: dataset_set_D_telecomunicaciones.xlsx · Indicadores basados en fórmulas Excel; al añadir filas, amplíe los rangos en Resumen_Calculos.</x:v>
      </x:c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</x:row>
  </x:sheetData>
  <x:mergeCells>
    <x:mergeCell ref="A1:P2"/>
    <x:mergeCell ref="A3:P3"/>
    <x:mergeCell ref="A5:D5"/>
    <x:mergeCell ref="A6:D7"/>
    <x:mergeCell ref="E5:H5"/>
    <x:mergeCell ref="E6:H7"/>
    <x:mergeCell ref="I5:L5"/>
    <x:mergeCell ref="I6:L7"/>
    <x:mergeCell ref="M5:P5"/>
    <x:mergeCell ref="M6:P7"/>
    <x:mergeCell ref="A46:P47"/>
  </x:mergeCells>
  <x:pageMargins left="0.7" right="0.7" top="0.75" bottom="0.75" header="0.3" footer="0.3"/>
  <x:drawing xmlns:r="http://schemas.openxmlformats.org/officeDocument/2006/relationships" r:id="R738564051d1d4257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6" customHeight="1">
      <x:c r="A1" s="16" t="str">
        <x:v>REGIÓN</x:v>
      </x:c>
      <x:c r="B1" s="16" t="str">
        <x:v>LATENCIA PROMEDIO (ms)</x:v>
      </x:c>
      <x:c r="D1" s="16" t="str">
        <x:v>SERVICIO</x:v>
      </x:c>
      <x:c r="E1" s="16" t="str">
        <x:v>RESOLUCIÓN PROMEDIO (h)</x:v>
      </x:c>
      <x:c r="G1" s="16" t="str">
        <x:v>REGIÓN</x:v>
      </x:c>
      <x:c r="H1" s="16" t="str">
        <x:v>INCIDENCIAS TOTALES</x:v>
      </x:c>
      <x:c r="J1" s="16" t="str">
        <x:v>ESTADO SLA</x:v>
      </x:c>
      <x:c r="K1" s="16" t="str">
        <x:v>REGISTROS</x:v>
      </x:c>
      <x:c r="M1" s="16" t="str">
        <x:v>INDICADOR</x:v>
      </x:c>
      <x:c r="N1" s="16" t="str">
        <x:v>VALOR</x:v>
      </x:c>
    </x:row>
    <x:row r="2">
      <x:c r="A2" t="str">
        <x:v>Centro</x:v>
      </x:c>
      <x:c r="B2" t="n">
        <x:f>IFERROR(AVERAGEIF(Datos!$B$2:$B$201,A2,Datos!$E$2:$E$201),0)</x:f>
        <x:v>68.06176470588237</x:v>
      </x:c>
      <x:c r="D2" t="str">
        <x:v>Empresas</x:v>
      </x:c>
      <x:c r="E2" t="n">
        <x:f>IFERROR(AVERAGEIF(Datos!$C$2:$C$201,D2,Datos!$H$2:$H$201),0)</x:f>
        <x:v>25.556250000000006</x:v>
      </x:c>
      <x:c r="G2" t="str">
        <x:v>Centro</x:v>
      </x:c>
      <x:c r="H2" t="n">
        <x:f>SUMIF(Datos!$B$2:$B$201,G2,Datos!$F$2:$F$201)</x:f>
        <x:v>862</x:v>
      </x:c>
      <x:c r="J2" t="str">
        <x:v>Cumple</x:v>
      </x:c>
      <x:c r="K2" t="n">
        <x:f>COUNTIF(Datos!$J$2:$J$201,J2)</x:f>
        <x:v>96</x:v>
      </x:c>
      <x:c r="M2" t="str">
        <x:v>Registros</x:v>
      </x:c>
      <x:c r="N2" t="n">
        <x:f>COUNTA(Datos!A2:A201)</x:f>
        <x:v>200</x:v>
      </x:c>
    </x:row>
    <x:row r="3">
      <x:c r="A3" t="str">
        <x:v>Norte</x:v>
      </x:c>
      <x:c r="B3" t="n">
        <x:f>IFERROR(AVERAGEIF(Datos!$B$2:$B$201,A3,Datos!$E$2:$E$201),0)</x:f>
        <x:v>64.6446153846154</x:v>
      </x:c>
      <x:c r="D3" t="str">
        <x:v>Internet Hogar</x:v>
      </x:c>
      <x:c r="E3" t="n">
        <x:f>IFERROR(AVERAGEIF(Datos!$C$2:$C$201,D3,Datos!$H$2:$H$201),0)</x:f>
        <x:v>24.462025316455687</x:v>
      </x:c>
      <x:c r="G3" t="str">
        <x:v>Norte</x:v>
      </x:c>
      <x:c r="H3" t="n">
        <x:f>SUMIF(Datos!$B$2:$B$201,G3,Datos!$F$2:$F$201)</x:f>
        <x:v>848</x:v>
      </x:c>
      <x:c r="J3" t="str">
        <x:v>No cumple</x:v>
      </x:c>
      <x:c r="K3" t="n">
        <x:f>COUNTIF(Datos!$J$2:$J$201,J3)</x:f>
        <x:v>104</x:v>
      </x:c>
      <x:c r="M3" t="str">
        <x:v>Latencia promedio</x:v>
      </x:c>
      <x:c r="N3" t="n">
        <x:f>AVERAGE(Datos!E2:E201)</x:f>
        <x:v>64.86150000000002</x:v>
      </x:c>
    </x:row>
    <x:row r="4">
      <x:c r="A4" t="str">
        <x:v>Sur</x:v>
      </x:c>
      <x:c r="B4" t="n">
        <x:f>IFERROR(AVERAGEIF(Datos!$B$2:$B$201,A4,Datos!$E$2:$E$201),0)</x:f>
        <x:v>61.823880597014906</x:v>
      </x:c>
      <x:c r="D4" t="str">
        <x:v>Móvil</x:v>
      </x:c>
      <x:c r="E4" t="n">
        <x:f>IFERROR(AVERAGEIF(Datos!$C$2:$C$201,D4,Datos!$H$2:$H$201),0)</x:f>
        <x:v>26.277192982456143</x:v>
      </x:c>
      <x:c r="G4" t="str">
        <x:v>Sur</x:v>
      </x:c>
      <x:c r="H4" t="n">
        <x:f>SUMIF(Datos!$B$2:$B$201,G4,Datos!$F$2:$F$201)</x:f>
        <x:v>999</x:v>
      </x:c>
      <x:c r="M4" t="str">
        <x:v>Resolución promedio</x:v>
      </x:c>
      <x:c r="N4" t="n">
        <x:f>AVERAGE(Datos!H2:H201)</x:f>
        <x:v>25.3295</x:v>
      </x:c>
    </x:row>
    <x:row r="5">
      <x:c r="M5" t="str">
        <x:v>Cumplimiento SLA</x:v>
      </x:c>
      <x:c r="N5" s="14" t="n">
        <x:f>COUNTIF(Datos!J2:J201,"Cumple")/COUNTA(Datos!J2:J201)</x:f>
        <x:v>0.48</x:v>
      </x:c>
    </x:row>
  </x:sheetData>
  <x:pageMargins left="0.7" right="0.7" top="0.75" bottom="0.75" header="0.3" footer="0.3"/>
</x:worksheet>
</file>